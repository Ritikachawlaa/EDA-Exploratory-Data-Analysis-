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Anudip\OneDrive\Desktop\Data Analysis\26 - Excel Dashboard 2\"/>
    </mc:Choice>
  </mc:AlternateContent>
  <xr:revisionPtr revIDLastSave="0" documentId="8_{7EA846E5-6026-445B-A34F-DBB9FA480833}" xr6:coauthVersionLast="47" xr6:coauthVersionMax="47" xr10:uidLastSave="{00000000-0000-0000-0000-000000000000}"/>
  <bookViews>
    <workbookView xWindow="-110" yWindow="-110" windowWidth="19420" windowHeight="10300" firstSheet="2" activeTab="5" xr2:uid="{00000000-000D-0000-FFFF-FFFF00000000}"/>
  </bookViews>
  <sheets>
    <sheet name="Production Dataset" sheetId="1" r:id="rId1"/>
    <sheet name="Pivot 1 " sheetId="3" r:id="rId2"/>
    <sheet name="Pivot 2" sheetId="4" r:id="rId3"/>
    <sheet name="Pivot 3" sheetId="13" r:id="rId4"/>
    <sheet name="Pivot 4" sheetId="14" r:id="rId5"/>
    <sheet name="Dashboard" sheetId="15" r:id="rId6"/>
  </sheets>
  <definedNames>
    <definedName name="_xlnm._FilterDatabase" localSheetId="0" hidden="1">'Production Dataset'!$A$1:$K$119</definedName>
    <definedName name="Slicer_Age_Groups">#N/A</definedName>
    <definedName name="Slicer_Gender">#N/A</definedName>
    <definedName name="Slicer_Quarters__Production_Date">#N/A</definedName>
    <definedName name="Slicer_Region">#N/A</definedName>
  </definedNames>
  <calcPr calcId="191029"/>
  <pivotCaches>
    <pivotCache cacheId="3" r:id="rId7"/>
    <pivotCache cacheId="1"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5" i="1" l="1"/>
  <c r="C134" i="1"/>
  <c r="C133" i="1"/>
  <c r="C132" i="1"/>
  <c r="C131" i="1"/>
  <c r="C130" i="1"/>
  <c r="C129" i="1"/>
  <c r="C128" i="1"/>
  <c r="C127" i="1"/>
  <c r="M119" i="1"/>
  <c r="K119" i="1"/>
  <c r="J119" i="1"/>
  <c r="M118" i="1"/>
  <c r="K118" i="1"/>
  <c r="J118" i="1"/>
  <c r="M117" i="1"/>
  <c r="K117" i="1"/>
  <c r="J117" i="1"/>
  <c r="M116" i="1"/>
  <c r="K116" i="1"/>
  <c r="J116" i="1"/>
  <c r="M115" i="1"/>
  <c r="K115" i="1"/>
  <c r="J115" i="1"/>
  <c r="M114" i="1"/>
  <c r="K114" i="1"/>
  <c r="J114" i="1"/>
  <c r="M113" i="1"/>
  <c r="K113" i="1"/>
  <c r="J113" i="1"/>
  <c r="M112" i="1"/>
  <c r="K112" i="1"/>
  <c r="J112" i="1"/>
  <c r="M111" i="1"/>
  <c r="K111" i="1"/>
  <c r="J111" i="1"/>
  <c r="M110" i="1"/>
  <c r="K110" i="1"/>
  <c r="J110" i="1"/>
  <c r="M109" i="1"/>
  <c r="K109" i="1"/>
  <c r="J109" i="1"/>
  <c r="M108" i="1"/>
  <c r="K108" i="1"/>
  <c r="J108" i="1"/>
  <c r="M107" i="1"/>
  <c r="K107" i="1"/>
  <c r="J107" i="1"/>
  <c r="M106" i="1"/>
  <c r="K106" i="1"/>
  <c r="J106" i="1"/>
  <c r="M105" i="1"/>
  <c r="K105" i="1"/>
  <c r="J105" i="1"/>
  <c r="M104" i="1"/>
  <c r="K104" i="1"/>
  <c r="J104" i="1"/>
  <c r="M103" i="1"/>
  <c r="K103" i="1"/>
  <c r="J103" i="1"/>
  <c r="M102" i="1"/>
  <c r="K102" i="1"/>
  <c r="J102" i="1"/>
  <c r="M101" i="1"/>
  <c r="K101" i="1"/>
  <c r="J101" i="1"/>
  <c r="M100" i="1"/>
  <c r="K100" i="1"/>
  <c r="J100" i="1"/>
  <c r="M99" i="1"/>
  <c r="K99" i="1"/>
  <c r="J99" i="1"/>
  <c r="M98" i="1"/>
  <c r="K98" i="1"/>
  <c r="J98" i="1"/>
  <c r="M97" i="1"/>
  <c r="K97" i="1"/>
  <c r="J97" i="1"/>
  <c r="M96" i="1"/>
  <c r="K96" i="1"/>
  <c r="J96" i="1"/>
  <c r="M95" i="1"/>
  <c r="K95" i="1"/>
  <c r="J95" i="1"/>
  <c r="M94" i="1"/>
  <c r="K94" i="1"/>
  <c r="J94" i="1"/>
  <c r="M93" i="1"/>
  <c r="K93" i="1"/>
  <c r="J93" i="1"/>
  <c r="M92" i="1"/>
  <c r="K92" i="1"/>
  <c r="J92" i="1"/>
  <c r="M91" i="1"/>
  <c r="K91" i="1"/>
  <c r="J91" i="1"/>
  <c r="M90" i="1"/>
  <c r="K90" i="1"/>
  <c r="J90" i="1"/>
  <c r="M89" i="1"/>
  <c r="K89" i="1"/>
  <c r="J89" i="1"/>
  <c r="M88" i="1"/>
  <c r="K88" i="1"/>
  <c r="J88" i="1"/>
  <c r="M87" i="1"/>
  <c r="K87" i="1"/>
  <c r="J87" i="1"/>
  <c r="M86" i="1"/>
  <c r="K86" i="1"/>
  <c r="J86" i="1"/>
  <c r="M85" i="1"/>
  <c r="K85" i="1"/>
  <c r="J85" i="1"/>
  <c r="M84" i="1"/>
  <c r="K84" i="1"/>
  <c r="J84" i="1"/>
  <c r="M83" i="1"/>
  <c r="K83" i="1"/>
  <c r="J83" i="1"/>
  <c r="M82" i="1"/>
  <c r="K82" i="1"/>
  <c r="J82" i="1"/>
  <c r="M81" i="1"/>
  <c r="K81" i="1"/>
  <c r="J81" i="1"/>
  <c r="M80" i="1"/>
  <c r="K80" i="1"/>
  <c r="J80" i="1"/>
  <c r="M79" i="1"/>
  <c r="K79" i="1"/>
  <c r="J79" i="1"/>
  <c r="M78" i="1"/>
  <c r="K78" i="1"/>
  <c r="J78" i="1"/>
  <c r="M77" i="1"/>
  <c r="K77" i="1"/>
  <c r="J77" i="1"/>
  <c r="M76" i="1"/>
  <c r="K76" i="1"/>
  <c r="J76" i="1"/>
  <c r="M75" i="1"/>
  <c r="K75" i="1"/>
  <c r="J75" i="1"/>
  <c r="M74" i="1"/>
  <c r="K74" i="1"/>
  <c r="J74" i="1"/>
  <c r="M73" i="1"/>
  <c r="K73" i="1"/>
  <c r="J73" i="1"/>
  <c r="M72" i="1"/>
  <c r="K72" i="1"/>
  <c r="J72" i="1"/>
  <c r="M71" i="1"/>
  <c r="K71" i="1"/>
  <c r="J71" i="1"/>
  <c r="M70" i="1"/>
  <c r="K70" i="1"/>
  <c r="J70" i="1"/>
  <c r="M69" i="1"/>
  <c r="K69" i="1"/>
  <c r="J69" i="1"/>
  <c r="M68" i="1"/>
  <c r="K68" i="1"/>
  <c r="J68" i="1"/>
  <c r="M67" i="1"/>
  <c r="K67" i="1"/>
  <c r="J67" i="1"/>
  <c r="M66" i="1"/>
  <c r="K66" i="1"/>
  <c r="J66" i="1"/>
  <c r="M65" i="1"/>
  <c r="K65" i="1"/>
  <c r="J65" i="1"/>
  <c r="M64" i="1"/>
  <c r="K64" i="1"/>
  <c r="J64" i="1"/>
  <c r="M63" i="1"/>
  <c r="K63" i="1"/>
  <c r="J63" i="1"/>
  <c r="M62" i="1"/>
  <c r="K62" i="1"/>
  <c r="J62" i="1"/>
  <c r="M61" i="1"/>
  <c r="K61" i="1"/>
  <c r="J61" i="1"/>
  <c r="M60" i="1"/>
  <c r="K60" i="1"/>
  <c r="J60" i="1"/>
  <c r="M59" i="1"/>
  <c r="K59" i="1"/>
  <c r="J59" i="1"/>
  <c r="M58" i="1"/>
  <c r="K58" i="1"/>
  <c r="J58" i="1"/>
  <c r="M57" i="1"/>
  <c r="K57" i="1"/>
  <c r="J57" i="1"/>
  <c r="M56" i="1"/>
  <c r="K56" i="1"/>
  <c r="J56" i="1"/>
  <c r="M55" i="1"/>
  <c r="K55" i="1"/>
  <c r="J55" i="1"/>
  <c r="M54" i="1"/>
  <c r="K54" i="1"/>
  <c r="J54" i="1"/>
  <c r="M53" i="1"/>
  <c r="K53" i="1"/>
  <c r="J53" i="1"/>
  <c r="M52" i="1"/>
  <c r="K52" i="1"/>
  <c r="J52" i="1"/>
  <c r="M51" i="1"/>
  <c r="K51" i="1"/>
  <c r="J51" i="1"/>
  <c r="M50" i="1"/>
  <c r="K50" i="1"/>
  <c r="J50" i="1"/>
  <c r="M49" i="1"/>
  <c r="K49" i="1"/>
  <c r="J49" i="1"/>
  <c r="M48" i="1"/>
  <c r="K48" i="1"/>
  <c r="J48" i="1"/>
  <c r="M47" i="1"/>
  <c r="K47" i="1"/>
  <c r="J47" i="1"/>
  <c r="M46" i="1"/>
  <c r="K46" i="1"/>
  <c r="J46" i="1"/>
  <c r="M45" i="1"/>
  <c r="K45" i="1"/>
  <c r="J45" i="1"/>
  <c r="M44" i="1"/>
  <c r="K44" i="1"/>
  <c r="J44" i="1"/>
  <c r="M43" i="1"/>
  <c r="K43" i="1"/>
  <c r="J43" i="1"/>
  <c r="M42" i="1"/>
  <c r="K42" i="1"/>
  <c r="J42" i="1"/>
  <c r="M41" i="1"/>
  <c r="K41" i="1"/>
  <c r="J41" i="1"/>
  <c r="M40" i="1"/>
  <c r="K40" i="1"/>
  <c r="J40" i="1"/>
  <c r="M39" i="1"/>
  <c r="K39" i="1"/>
  <c r="J39" i="1"/>
  <c r="M38" i="1"/>
  <c r="K38" i="1"/>
  <c r="J38" i="1"/>
  <c r="M37" i="1"/>
  <c r="K37" i="1"/>
  <c r="J37" i="1"/>
  <c r="M36" i="1"/>
  <c r="K36" i="1"/>
  <c r="J36" i="1"/>
  <c r="M35" i="1"/>
  <c r="K35" i="1"/>
  <c r="J35" i="1"/>
  <c r="M34" i="1"/>
  <c r="K34" i="1"/>
  <c r="J34" i="1"/>
  <c r="M33" i="1"/>
  <c r="K33" i="1"/>
  <c r="J33" i="1"/>
  <c r="M32" i="1"/>
  <c r="K32" i="1"/>
  <c r="J32" i="1"/>
  <c r="M31" i="1"/>
  <c r="K31" i="1"/>
  <c r="J31" i="1"/>
  <c r="M30" i="1"/>
  <c r="K30" i="1"/>
  <c r="J30" i="1"/>
  <c r="M29" i="1"/>
  <c r="K29" i="1"/>
  <c r="J29" i="1"/>
  <c r="M28" i="1"/>
  <c r="K28" i="1"/>
  <c r="J28" i="1"/>
  <c r="M27" i="1"/>
  <c r="K27" i="1"/>
  <c r="J27" i="1"/>
  <c r="M26" i="1"/>
  <c r="K26" i="1"/>
  <c r="J26" i="1"/>
  <c r="M25" i="1"/>
  <c r="K25" i="1"/>
  <c r="J25" i="1"/>
  <c r="M24" i="1"/>
  <c r="K24" i="1"/>
  <c r="J24" i="1"/>
  <c r="M23" i="1"/>
  <c r="K23" i="1"/>
  <c r="J23" i="1"/>
  <c r="M22" i="1"/>
  <c r="K22" i="1"/>
  <c r="J22" i="1"/>
  <c r="M21" i="1"/>
  <c r="K21" i="1"/>
  <c r="J21" i="1"/>
  <c r="M20" i="1"/>
  <c r="K20" i="1"/>
  <c r="J20" i="1"/>
  <c r="M19" i="1"/>
  <c r="K19" i="1"/>
  <c r="J19" i="1"/>
  <c r="M18" i="1"/>
  <c r="K18" i="1"/>
  <c r="J18" i="1"/>
  <c r="M17" i="1"/>
  <c r="K17" i="1"/>
  <c r="J17" i="1"/>
  <c r="M16" i="1"/>
  <c r="K16" i="1"/>
  <c r="J16" i="1"/>
  <c r="M15" i="1"/>
  <c r="K15" i="1"/>
  <c r="J15" i="1"/>
  <c r="M14" i="1"/>
  <c r="K14" i="1"/>
  <c r="J14" i="1"/>
  <c r="M13" i="1"/>
  <c r="K13" i="1"/>
  <c r="J13" i="1"/>
  <c r="M12" i="1"/>
  <c r="K12" i="1"/>
  <c r="J12" i="1"/>
  <c r="M11" i="1"/>
  <c r="K11" i="1"/>
  <c r="J11" i="1"/>
  <c r="M10" i="1"/>
  <c r="K10" i="1"/>
  <c r="J10" i="1"/>
  <c r="M9" i="1"/>
  <c r="K9" i="1"/>
  <c r="J9" i="1"/>
  <c r="M8" i="1"/>
  <c r="K8" i="1"/>
  <c r="J8" i="1"/>
  <c r="M7" i="1"/>
  <c r="K7" i="1"/>
  <c r="J7" i="1"/>
  <c r="M6" i="1"/>
  <c r="K6" i="1"/>
  <c r="J6" i="1"/>
  <c r="M5" i="1"/>
  <c r="K5" i="1"/>
  <c r="J5" i="1"/>
  <c r="M4" i="1"/>
  <c r="K4" i="1"/>
  <c r="J4" i="1"/>
  <c r="M3" i="1"/>
  <c r="K3" i="1"/>
  <c r="J3" i="1"/>
  <c r="M2" i="1"/>
  <c r="K2" i="1"/>
  <c r="J2" i="1"/>
</calcChain>
</file>

<file path=xl/sharedStrings.xml><?xml version="1.0" encoding="utf-8"?>
<sst xmlns="http://schemas.openxmlformats.org/spreadsheetml/2006/main" count="552" uniqueCount="54">
  <si>
    <t>Region</t>
  </si>
  <si>
    <t>Manager</t>
  </si>
  <si>
    <t>Gender</t>
  </si>
  <si>
    <t>North</t>
  </si>
  <si>
    <t>Nancy Grey</t>
  </si>
  <si>
    <t>Machinery</t>
  </si>
  <si>
    <t>Female</t>
  </si>
  <si>
    <t>West</t>
  </si>
  <si>
    <t>Emily Davis</t>
  </si>
  <si>
    <t>Furniture</t>
  </si>
  <si>
    <t>East</t>
  </si>
  <si>
    <t>Mike Brown</t>
  </si>
  <si>
    <t>Electronics</t>
  </si>
  <si>
    <t>Male</t>
  </si>
  <si>
    <t>South</t>
  </si>
  <si>
    <t>Jane Smith</t>
  </si>
  <si>
    <t>Automobiles</t>
  </si>
  <si>
    <t>Andrew Blue</t>
  </si>
  <si>
    <t>Laura Black</t>
  </si>
  <si>
    <t>David White</t>
  </si>
  <si>
    <t>John Doe</t>
  </si>
  <si>
    <t>Sarah Lee</t>
  </si>
  <si>
    <t>Production ID</t>
  </si>
  <si>
    <t>Production Date</t>
  </si>
  <si>
    <t>Product Type</t>
  </si>
  <si>
    <t>Units Produced</t>
  </si>
  <si>
    <t>Total Cost</t>
  </si>
  <si>
    <t>Unknown</t>
  </si>
  <si>
    <t xml:space="preserve">True Age </t>
  </si>
  <si>
    <t>Age Groups</t>
  </si>
  <si>
    <t>Production Cost Per Unit</t>
  </si>
  <si>
    <t>Row Labels</t>
  </si>
  <si>
    <t>Grand Total</t>
  </si>
  <si>
    <t>Sum of Total Cost</t>
  </si>
  <si>
    <t>No. of Tasks</t>
  </si>
  <si>
    <t>Sum of Units Produced</t>
  </si>
  <si>
    <t>2021</t>
  </si>
  <si>
    <t>2022</t>
  </si>
  <si>
    <t>2023</t>
  </si>
  <si>
    <t>2024</t>
  </si>
  <si>
    <t>Apr</t>
  </si>
  <si>
    <t>Jun</t>
  </si>
  <si>
    <t>Jul</t>
  </si>
  <si>
    <t>Aug</t>
  </si>
  <si>
    <t>Nov</t>
  </si>
  <si>
    <t>Jan</t>
  </si>
  <si>
    <t>Feb</t>
  </si>
  <si>
    <t>Mar</t>
  </si>
  <si>
    <t>May</t>
  </si>
  <si>
    <t>Sep</t>
  </si>
  <si>
    <t>Oct</t>
  </si>
  <si>
    <t>Dec</t>
  </si>
  <si>
    <t>Average of Production Cost Per Unit</t>
  </si>
  <si>
    <t>PRODUCTON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</si>
</sst>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m/d/yy;@"/>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0" fontId="0" fillId="0" borderId="0" xfId="0" applyAlignment="1">
      <alignment horizontal="left" indent="1"/>
    </xf>
    <xf numFmtId="165" fontId="0" fillId="0" borderId="0" xfId="0" applyNumberFormat="1" applyAlignment="1">
      <alignment horizontal="left"/>
    </xf>
    <xf numFmtId="0" fontId="0" fillId="0" borderId="0" xfId="0" applyNumberFormat="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10">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[26.6-Excel_Dashboard_2.xlsx]Pivot 1 !PivotTable1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 '!$B$3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'Pivot 1 '!$A$4:$A$8</c:f>
              <c:strCache>
                <c:ptCount val="4"/>
                <c:pt idx="0">
                  <c:v>Automobiles</c:v>
                </c:pt>
                <c:pt idx="1">
                  <c:v>Electronics</c:v>
                </c:pt>
                <c:pt idx="2">
                  <c:v>Furniture</c:v>
                </c:pt>
                <c:pt idx="3">
                  <c:v>Machinery</c:v>
                </c:pt>
              </c:strCache>
            </c:strRef>
          </c:cat>
          <c:val>
            <c:numRef>
              <c:f>'Pivot 1 '!$B$4:$B$8</c:f>
              <c:numCache>
                <c:formatCode>_(* #,##0_);_(* \(#,##0\);_(* "-"??_);_(@_)</c:formatCode>
                <c:ptCount val="4"/>
                <c:pt idx="0">
                  <c:v>1212749</c:v>
                </c:pt>
                <c:pt idx="1">
                  <c:v>944874</c:v>
                </c:pt>
                <c:pt idx="2">
                  <c:v>864969</c:v>
                </c:pt>
                <c:pt idx="3">
                  <c:v>862888</c:v>
                </c:pt>
              </c:numCache>
            </c:numRef>
          </c:val>
          <c:extLst>
            <c:ext xmlns:c16="http://schemas.microsoft.com/office/drawing/2014/chart" uri="{C3380CC4-5D6E-409C-BE32-E72D297353CC}">
              <c16:uniqueId val="{00000000-C485-4DC8-82CD-311070620821}"/>
            </c:ext>
          </c:extLst>
        </c:ser>
        <c:dLbls>
          <c:showLegendKey val="0"/>
          <c:showVal val="0"/>
          <c:showCatName val="0"/>
          <c:showSerName val="0"/>
          <c:showPercent val="0"/>
          <c:showBubbleSize val="0"/>
        </c:dLbls>
        <c:gapWidth val="150"/>
        <c:shape val="box"/>
        <c:axId val="1989079376"/>
        <c:axId val="1989096176"/>
        <c:axId val="0"/>
      </c:bar3DChart>
      <c:catAx>
        <c:axId val="198907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9096176"/>
        <c:crosses val="autoZero"/>
        <c:auto val="1"/>
        <c:lblAlgn val="ctr"/>
        <c:lblOffset val="100"/>
        <c:noMultiLvlLbl val="0"/>
      </c:catAx>
      <c:valAx>
        <c:axId val="19890961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8907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[26.6-Excel_Dashboard_2.xlsx]Pivot 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1" u="sng">
                <a:solidFill>
                  <a:schemeClr val="tx1"/>
                </a:solidFill>
              </a:rPr>
              <a:t>No. of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tint val="66000"/>
              <a:satMod val="1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lumMod val="60000"/>
                <a:lumOff val="40000"/>
                <a:tint val="66000"/>
                <a:satMod val="1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2'!$A$4:$A$13</c:f>
              <c:strCache>
                <c:ptCount val="9"/>
                <c:pt idx="0">
                  <c:v>Nancy Grey</c:v>
                </c:pt>
                <c:pt idx="1">
                  <c:v>Mike Brown</c:v>
                </c:pt>
                <c:pt idx="2">
                  <c:v>Jane Smith</c:v>
                </c:pt>
                <c:pt idx="3">
                  <c:v>Andrew Blue</c:v>
                </c:pt>
                <c:pt idx="4">
                  <c:v>Emily Davis</c:v>
                </c:pt>
                <c:pt idx="5">
                  <c:v>Laura Black</c:v>
                </c:pt>
                <c:pt idx="6">
                  <c:v>John Doe</c:v>
                </c:pt>
                <c:pt idx="7">
                  <c:v>David White</c:v>
                </c:pt>
                <c:pt idx="8">
                  <c:v>Sarah Lee</c:v>
                </c:pt>
              </c:strCache>
            </c:strRef>
          </c:cat>
          <c:val>
            <c:numRef>
              <c:f>'Pivot 2'!$B$4:$B$13</c:f>
              <c:numCache>
                <c:formatCode>General</c:formatCode>
                <c:ptCount val="9"/>
                <c:pt idx="0">
                  <c:v>20</c:v>
                </c:pt>
                <c:pt idx="1">
                  <c:v>16</c:v>
                </c:pt>
                <c:pt idx="2">
                  <c:v>16</c:v>
                </c:pt>
                <c:pt idx="3">
                  <c:v>15</c:v>
                </c:pt>
                <c:pt idx="4">
                  <c:v>14</c:v>
                </c:pt>
                <c:pt idx="5">
                  <c:v>13</c:v>
                </c:pt>
                <c:pt idx="6">
                  <c:v>13</c:v>
                </c:pt>
                <c:pt idx="7">
                  <c:v>12</c:v>
                </c:pt>
                <c:pt idx="8">
                  <c:v>1</c:v>
                </c:pt>
              </c:numCache>
            </c:numRef>
          </c:val>
          <c:extLst>
            <c:ext xmlns:c16="http://schemas.microsoft.com/office/drawing/2014/chart" uri="{C3380CC4-5D6E-409C-BE32-E72D297353CC}">
              <c16:uniqueId val="{00000000-A14D-4D91-9C59-E8AF590762B5}"/>
            </c:ext>
          </c:extLst>
        </c:ser>
        <c:dLbls>
          <c:showLegendKey val="0"/>
          <c:showVal val="1"/>
          <c:showCatName val="0"/>
          <c:showSerName val="0"/>
          <c:showPercent val="0"/>
          <c:showBubbleSize val="0"/>
        </c:dLbls>
        <c:gapWidth val="150"/>
        <c:shape val="box"/>
        <c:axId val="1989105776"/>
        <c:axId val="1989090416"/>
        <c:axId val="0"/>
      </c:bar3DChart>
      <c:catAx>
        <c:axId val="198910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9090416"/>
        <c:crosses val="autoZero"/>
        <c:auto val="1"/>
        <c:lblAlgn val="ctr"/>
        <c:lblOffset val="100"/>
        <c:noMultiLvlLbl val="0"/>
      </c:catAx>
      <c:valAx>
        <c:axId val="1989090416"/>
        <c:scaling>
          <c:orientation val="minMax"/>
        </c:scaling>
        <c:delete val="1"/>
        <c:axPos val="b"/>
        <c:numFmt formatCode="General" sourceLinked="1"/>
        <c:majorTickMark val="none"/>
        <c:minorTickMark val="none"/>
        <c:tickLblPos val="nextTo"/>
        <c:crossAx val="198910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[26.6-Excel_Dashboard_2.xlsx]Pivot 3!PivotTable9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Unit</a:t>
            </a:r>
            <a:r>
              <a:rPr lang="en-US" b="1" i="1" u="sng" baseline="0">
                <a:solidFill>
                  <a:sysClr val="windowText" lastClr="000000"/>
                </a:solidFill>
              </a:rPr>
              <a:t>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dLbl>
          <c:idx val="0"/>
          <c:layout>
            <c:manualLayout>
              <c:x val="1.109057301293900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dLbl>
          <c:idx val="0"/>
          <c:layout>
            <c:manualLayout>
              <c:x val="9.242144177449169E-3"/>
              <c:y val="-3.42612419700214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dLbl>
          <c:idx val="0"/>
          <c:layout>
            <c:manualLayout>
              <c:x val="-1.2939001848428836E-2"/>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p3d/>
        </c:spPr>
        <c:dLbl>
          <c:idx val="0"/>
          <c:layout>
            <c:manualLayout>
              <c:x val="1.4787430683918669E-2"/>
              <c:y val="-5.1391862955032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sp3d/>
        </c:spPr>
        <c:dLbl>
          <c:idx val="0"/>
          <c:layout>
            <c:manualLayout>
              <c:x val="-3.696857670979803E-3"/>
              <c:y val="5.13918629550321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sp3d/>
        </c:spPr>
        <c:dLbl>
          <c:idx val="0"/>
          <c:layout>
            <c:manualLayout>
              <c:x val="-2.0332717190388101E-2"/>
              <c:y val="-5.56745182012847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sp3d/>
        </c:spPr>
        <c:dLbl>
          <c:idx val="0"/>
          <c:layout>
            <c:manualLayout>
              <c:x val="1.1090573012938934E-2"/>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sp3d/>
        </c:spPr>
        <c:dLbl>
          <c:idx val="0"/>
          <c:layout>
            <c:manualLayout>
              <c:x val="-3.6968576709796672E-3"/>
              <c:y val="-4.7109207708779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a:sp3d/>
        </c:spPr>
        <c:dLbl>
          <c:idx val="0"/>
          <c:layout>
            <c:manualLayout>
              <c:x val="5.5452865064695009E-3"/>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a:sp3d/>
        </c:spPr>
        <c:dLbl>
          <c:idx val="0"/>
          <c:layout>
            <c:manualLayout>
              <c:x val="1.8484288354898336E-3"/>
              <c:y val="-2.56959314775161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a:sp3d/>
        </c:spPr>
        <c:dLbl>
          <c:idx val="0"/>
          <c:layout>
            <c:manualLayout>
              <c:x val="-6.7774941026058376E-17"/>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a:sp3d/>
        </c:spPr>
        <c:dLbl>
          <c:idx val="0"/>
          <c:layout>
            <c:manualLayout>
              <c:x val="-3.6968576709797349E-3"/>
              <c:y val="-4.28265524625267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a:sp3d/>
        </c:spPr>
        <c:dLbl>
          <c:idx val="0"/>
          <c:layout>
            <c:manualLayout>
              <c:x val="1.8484288354898336E-3"/>
              <c:y val="4.28265524625266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a:sp3d/>
        </c:spPr>
      </c:pivotFmt>
      <c:pivotFmt>
        <c:idx val="17"/>
        <c:spPr>
          <a:solidFill>
            <a:schemeClr val="accent6">
              <a:lumMod val="75000"/>
            </a:schemeClr>
          </a:solidFill>
          <a:ln>
            <a:noFill/>
          </a:ln>
          <a:effectLst/>
          <a:sp3d/>
        </c:spPr>
        <c:dLbl>
          <c:idx val="0"/>
          <c:layout>
            <c:manualLayout>
              <c:x val="1.8484288354898336E-3"/>
              <c:y val="-7.7087794432548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a:sp3d/>
        </c:spPr>
        <c:dLbl>
          <c:idx val="0"/>
          <c:layout>
            <c:manualLayout>
              <c:x val="0"/>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a:sp3d/>
        </c:spPr>
        <c:dLbl>
          <c:idx val="0"/>
          <c:layout>
            <c:manualLayout>
              <c:x val="9.242144177449169E-3"/>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6">
                <a:lumMod val="75000"/>
              </a:schemeClr>
            </a:solidFill>
            <a:ln>
              <a:noFill/>
            </a:ln>
            <a:effectLst/>
            <a:sp3d/>
          </c:spPr>
          <c:dPt>
            <c:idx val="0"/>
            <c:bubble3D val="0"/>
            <c:extLst>
              <c:ext xmlns:c16="http://schemas.microsoft.com/office/drawing/2014/chart" uri="{C3380CC4-5D6E-409C-BE32-E72D297353CC}">
                <c16:uniqueId val="{00000005-217D-4247-B700-4451F8A26E6A}"/>
              </c:ext>
            </c:extLst>
          </c:dPt>
          <c:dPt>
            <c:idx val="2"/>
            <c:bubble3D val="0"/>
            <c:extLst>
              <c:ext xmlns:c16="http://schemas.microsoft.com/office/drawing/2014/chart" uri="{C3380CC4-5D6E-409C-BE32-E72D297353CC}">
                <c16:uniqueId val="{00000017-217D-4247-B700-4451F8A26E6A}"/>
              </c:ext>
            </c:extLst>
          </c:dPt>
          <c:dPt>
            <c:idx val="4"/>
            <c:bubble3D val="0"/>
          </c:dPt>
          <c:dPt>
            <c:idx val="5"/>
            <c:bubble3D val="0"/>
            <c:extLst>
              <c:ext xmlns:c16="http://schemas.microsoft.com/office/drawing/2014/chart" uri="{C3380CC4-5D6E-409C-BE32-E72D297353CC}">
                <c16:uniqueId val="{00000014-217D-4247-B700-4451F8A26E6A}"/>
              </c:ext>
            </c:extLst>
          </c:dPt>
          <c:dPt>
            <c:idx val="7"/>
            <c:bubble3D val="0"/>
            <c:extLst>
              <c:ext xmlns:c16="http://schemas.microsoft.com/office/drawing/2014/chart" uri="{C3380CC4-5D6E-409C-BE32-E72D297353CC}">
                <c16:uniqueId val="{00000013-217D-4247-B700-4451F8A26E6A}"/>
              </c:ext>
            </c:extLst>
          </c:dPt>
          <c:dPt>
            <c:idx val="8"/>
            <c:bubble3D val="0"/>
            <c:extLst>
              <c:ext xmlns:c16="http://schemas.microsoft.com/office/drawing/2014/chart" uri="{C3380CC4-5D6E-409C-BE32-E72D297353CC}">
                <c16:uniqueId val="{00000012-217D-4247-B700-4451F8A26E6A}"/>
              </c:ext>
            </c:extLst>
          </c:dPt>
          <c:dPt>
            <c:idx val="10"/>
            <c:bubble3D val="0"/>
            <c:extLst>
              <c:ext xmlns:c16="http://schemas.microsoft.com/office/drawing/2014/chart" uri="{C3380CC4-5D6E-409C-BE32-E72D297353CC}">
                <c16:uniqueId val="{00000010-217D-4247-B700-4451F8A26E6A}"/>
              </c:ext>
            </c:extLst>
          </c:dPt>
          <c:dPt>
            <c:idx val="11"/>
            <c:bubble3D val="0"/>
            <c:extLst>
              <c:ext xmlns:c16="http://schemas.microsoft.com/office/drawing/2014/chart" uri="{C3380CC4-5D6E-409C-BE32-E72D297353CC}">
                <c16:uniqueId val="{0000000F-217D-4247-B700-4451F8A26E6A}"/>
              </c:ext>
            </c:extLst>
          </c:dPt>
          <c:dPt>
            <c:idx val="12"/>
            <c:bubble3D val="0"/>
            <c:extLst>
              <c:ext xmlns:c16="http://schemas.microsoft.com/office/drawing/2014/chart" uri="{C3380CC4-5D6E-409C-BE32-E72D297353CC}">
                <c16:uniqueId val="{0000000E-217D-4247-B700-4451F8A26E6A}"/>
              </c:ext>
            </c:extLst>
          </c:dPt>
          <c:dPt>
            <c:idx val="13"/>
            <c:bubble3D val="0"/>
            <c:extLst>
              <c:ext xmlns:c16="http://schemas.microsoft.com/office/drawing/2014/chart" uri="{C3380CC4-5D6E-409C-BE32-E72D297353CC}">
                <c16:uniqueId val="{0000000D-217D-4247-B700-4451F8A26E6A}"/>
              </c:ext>
            </c:extLst>
          </c:dPt>
          <c:dPt>
            <c:idx val="14"/>
            <c:bubble3D val="0"/>
            <c:extLst>
              <c:ext xmlns:c16="http://schemas.microsoft.com/office/drawing/2014/chart" uri="{C3380CC4-5D6E-409C-BE32-E72D297353CC}">
                <c16:uniqueId val="{0000000C-217D-4247-B700-4451F8A26E6A}"/>
              </c:ext>
            </c:extLst>
          </c:dPt>
          <c:dPt>
            <c:idx val="15"/>
            <c:bubble3D val="0"/>
            <c:extLst>
              <c:ext xmlns:c16="http://schemas.microsoft.com/office/drawing/2014/chart" uri="{C3380CC4-5D6E-409C-BE32-E72D297353CC}">
                <c16:uniqueId val="{0000000B-217D-4247-B700-4451F8A26E6A}"/>
              </c:ext>
            </c:extLst>
          </c:dPt>
          <c:dPt>
            <c:idx val="16"/>
            <c:bubble3D val="0"/>
            <c:extLst>
              <c:ext xmlns:c16="http://schemas.microsoft.com/office/drawing/2014/chart" uri="{C3380CC4-5D6E-409C-BE32-E72D297353CC}">
                <c16:uniqueId val="{0000000A-217D-4247-B700-4451F8A26E6A}"/>
              </c:ext>
            </c:extLst>
          </c:dPt>
          <c:dPt>
            <c:idx val="17"/>
            <c:bubble3D val="0"/>
            <c:extLst>
              <c:ext xmlns:c16="http://schemas.microsoft.com/office/drawing/2014/chart" uri="{C3380CC4-5D6E-409C-BE32-E72D297353CC}">
                <c16:uniqueId val="{00000003-217D-4247-B700-4451F8A26E6A}"/>
              </c:ext>
            </c:extLst>
          </c:dPt>
          <c:dPt>
            <c:idx val="18"/>
            <c:bubble3D val="0"/>
            <c:extLst>
              <c:ext xmlns:c16="http://schemas.microsoft.com/office/drawing/2014/chart" uri="{C3380CC4-5D6E-409C-BE32-E72D297353CC}">
                <c16:uniqueId val="{00000004-217D-4247-B700-4451F8A26E6A}"/>
              </c:ext>
            </c:extLst>
          </c:dPt>
          <c:dPt>
            <c:idx val="19"/>
            <c:bubble3D val="0"/>
            <c:extLst>
              <c:ext xmlns:c16="http://schemas.microsoft.com/office/drawing/2014/chart" uri="{C3380CC4-5D6E-409C-BE32-E72D297353CC}">
                <c16:uniqueId val="{00000002-217D-4247-B700-4451F8A26E6A}"/>
              </c:ext>
            </c:extLst>
          </c:dPt>
          <c:dPt>
            <c:idx val="20"/>
            <c:bubble3D val="0"/>
          </c:dPt>
          <c:dPt>
            <c:idx val="21"/>
            <c:bubble3D val="0"/>
          </c:dPt>
          <c:dLbls>
            <c:dLbl>
              <c:idx val="0"/>
              <c:layout>
                <c:manualLayout>
                  <c:x val="-7.3937153419593345E-3"/>
                  <c:y val="1.284796573875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7D-4247-B700-4451F8A26E6A}"/>
                </c:ext>
              </c:extLst>
            </c:dLbl>
            <c:dLbl>
              <c:idx val="1"/>
              <c:layout>
                <c:manualLayout>
                  <c:x val="-7.3937153419593345E-3"/>
                  <c:y val="1.284796573875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17D-4247-B700-4451F8A26E6A}"/>
                </c:ext>
              </c:extLst>
            </c:dLbl>
            <c:dLbl>
              <c:idx val="2"/>
              <c:layout>
                <c:manualLayout>
                  <c:x val="-1.1090573012939002E-2"/>
                  <c:y val="2.9978586723768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17D-4247-B700-4451F8A26E6A}"/>
                </c:ext>
              </c:extLst>
            </c:dLbl>
            <c:dLbl>
              <c:idx val="3"/>
              <c:layout>
                <c:manualLayout>
                  <c:x val="0"/>
                  <c:y val="-3.8543897216274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17D-4247-B700-4451F8A26E6A}"/>
                </c:ext>
              </c:extLst>
            </c:dLbl>
            <c:dLbl>
              <c:idx val="4"/>
              <c:layout>
                <c:manualLayout>
                  <c:x val="0"/>
                  <c:y val="4.7109207708779362E-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1090573012939002E-2"/>
                  <c:y val="2.9978586723768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17D-4247-B700-4451F8A26E6A}"/>
                </c:ext>
              </c:extLst>
            </c:dLbl>
            <c:dLbl>
              <c:idx val="7"/>
              <c:layout>
                <c:manualLayout>
                  <c:x val="0"/>
                  <c:y val="4.7109207708779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17D-4247-B700-4451F8A26E6A}"/>
                </c:ext>
              </c:extLst>
            </c:dLbl>
            <c:dLbl>
              <c:idx val="8"/>
              <c:layout>
                <c:manualLayout>
                  <c:x val="1.8484288354898336E-3"/>
                  <c:y val="-7.7087794432548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17D-4247-B700-4451F8A26E6A}"/>
                </c:ext>
              </c:extLst>
            </c:dLbl>
            <c:dLbl>
              <c:idx val="10"/>
              <c:layout>
                <c:manualLayout>
                  <c:x val="1.8484288354898336E-3"/>
                  <c:y val="4.28265524625266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17D-4247-B700-4451F8A26E6A}"/>
                </c:ext>
              </c:extLst>
            </c:dLbl>
            <c:dLbl>
              <c:idx val="11"/>
              <c:layout>
                <c:manualLayout>
                  <c:x val="-3.6968576709797349E-3"/>
                  <c:y val="-4.28265524625267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17D-4247-B700-4451F8A26E6A}"/>
                </c:ext>
              </c:extLst>
            </c:dLbl>
            <c:dLbl>
              <c:idx val="12"/>
              <c:layout>
                <c:manualLayout>
                  <c:x val="-6.7774941026058376E-17"/>
                  <c:y val="3.8543897216274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17D-4247-B700-4451F8A26E6A}"/>
                </c:ext>
              </c:extLst>
            </c:dLbl>
            <c:dLbl>
              <c:idx val="13"/>
              <c:layout>
                <c:manualLayout>
                  <c:x val="1.8484288354898336E-3"/>
                  <c:y val="-2.5695931477516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17D-4247-B700-4451F8A26E6A}"/>
                </c:ext>
              </c:extLst>
            </c:dLbl>
            <c:dLbl>
              <c:idx val="14"/>
              <c:layout>
                <c:manualLayout>
                  <c:x val="5.5452865064695009E-3"/>
                  <c:y val="3.4261241970021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17D-4247-B700-4451F8A26E6A}"/>
                </c:ext>
              </c:extLst>
            </c:dLbl>
            <c:dLbl>
              <c:idx val="15"/>
              <c:layout>
                <c:manualLayout>
                  <c:x val="-3.6968576709796672E-3"/>
                  <c:y val="-4.7109207708779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17D-4247-B700-4451F8A26E6A}"/>
                </c:ext>
              </c:extLst>
            </c:dLbl>
            <c:dLbl>
              <c:idx val="16"/>
              <c:layout>
                <c:manualLayout>
                  <c:x val="1.1090573012938934E-2"/>
                  <c:y val="2.569593147751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17D-4247-B700-4451F8A26E6A}"/>
                </c:ext>
              </c:extLst>
            </c:dLbl>
            <c:dLbl>
              <c:idx val="17"/>
              <c:layout>
                <c:manualLayout>
                  <c:x val="9.242144177449169E-3"/>
                  <c:y val="-3.4261241970021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7D-4247-B700-4451F8A26E6A}"/>
                </c:ext>
              </c:extLst>
            </c:dLbl>
            <c:dLbl>
              <c:idx val="18"/>
              <c:layout>
                <c:manualLayout>
                  <c:x val="-1.2939001848428836E-2"/>
                  <c:y val="4.7109207708779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7D-4247-B700-4451F8A26E6A}"/>
                </c:ext>
              </c:extLst>
            </c:dLbl>
            <c:dLbl>
              <c:idx val="19"/>
              <c:layout>
                <c:manualLayout>
                  <c:x val="1.10905730129390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7D-4247-B700-4451F8A26E6A}"/>
                </c:ext>
              </c:extLst>
            </c:dLbl>
            <c:dLbl>
              <c:idx val="20"/>
              <c:layout>
                <c:manualLayout>
                  <c:x val="-2.0332717190388101E-2"/>
                  <c:y val="-5.5674518201284794E-2"/>
                </c:manualLayout>
              </c:layout>
              <c:showLegendKey val="0"/>
              <c:showVal val="1"/>
              <c:showCatName val="0"/>
              <c:showSerName val="0"/>
              <c:showPercent val="0"/>
              <c:showBubbleSize val="0"/>
              <c:extLst>
                <c:ext xmlns:c15="http://schemas.microsoft.com/office/drawing/2012/chart" uri="{CE6537A1-D6FC-4f65-9D91-7224C49458BB}"/>
              </c:extLst>
            </c:dLbl>
            <c:dLbl>
              <c:idx val="21"/>
              <c:layout>
                <c:manualLayout>
                  <c:x val="-3.696857670979803E-3"/>
                  <c:y val="5.1391862955032119E-2"/>
                </c:manualLayout>
              </c:layout>
              <c:showLegendKey val="0"/>
              <c:showVal val="1"/>
              <c:showCatName val="0"/>
              <c:showSerName val="0"/>
              <c:showPercent val="0"/>
              <c:showBubbleSize val="0"/>
              <c:extLst>
                <c:ext xmlns:c15="http://schemas.microsoft.com/office/drawing/2012/chart" uri="{CE6537A1-D6FC-4f65-9D91-7224C49458BB}"/>
              </c:extLst>
            </c:dLbl>
            <c:dLbl>
              <c:idx val="22"/>
              <c:layout>
                <c:manualLayout>
                  <c:x val="1.4787430683918669E-2"/>
                  <c:y val="-5.1391862955032161E-2"/>
                </c:manualLayout>
              </c:layout>
              <c:showLegendKey val="0"/>
              <c:showVal val="1"/>
              <c:showCatName val="0"/>
              <c:showSerName val="0"/>
              <c:showPercent val="0"/>
              <c:showBubbleSize val="0"/>
              <c:extLst>
                <c:ext xmlns:c15="http://schemas.microsoft.com/office/drawing/2012/chart" uri="{CE6537A1-D6FC-4f65-9D91-7224C49458BB}"/>
              </c:extLst>
            </c:dLbl>
            <c:dLbl>
              <c:idx val="24"/>
              <c:layout>
                <c:manualLayout>
                  <c:x val="9.242144177449169E-3"/>
                  <c:y val="-3.854389721627408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3'!$A$4:$A$34</c:f>
              <c:multiLvlStrCache>
                <c:ptCount val="26"/>
                <c:lvl>
                  <c:pt idx="0">
                    <c:v>Apr</c:v>
                  </c:pt>
                  <c:pt idx="1">
                    <c:v>Jun</c:v>
                  </c:pt>
                  <c:pt idx="2">
                    <c:v>Jul</c:v>
                  </c:pt>
                  <c:pt idx="3">
                    <c:v>Aug</c:v>
                  </c:pt>
                  <c:pt idx="4">
                    <c:v>Nov</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Oct</c:v>
                  </c:pt>
                  <c:pt idx="25">
                    <c:v>Nov</c:v>
                  </c:pt>
                </c:lvl>
                <c:lvl>
                  <c:pt idx="0">
                    <c:v>2021</c:v>
                  </c:pt>
                  <c:pt idx="3">
                    <c:v>2022</c:v>
                  </c:pt>
                  <c:pt idx="5">
                    <c:v>2023</c:v>
                  </c:pt>
                  <c:pt idx="17">
                    <c:v>2024</c:v>
                  </c:pt>
                </c:lvl>
              </c:multiLvlStrCache>
            </c:multiLvlStrRef>
          </c:cat>
          <c:val>
            <c:numRef>
              <c:f>'Pivot 3'!$B$4:$B$34</c:f>
              <c:numCache>
                <c:formatCode>General</c:formatCode>
                <c:ptCount val="26"/>
                <c:pt idx="0">
                  <c:v>199</c:v>
                </c:pt>
                <c:pt idx="1">
                  <c:v>527</c:v>
                </c:pt>
                <c:pt idx="2">
                  <c:v>289</c:v>
                </c:pt>
                <c:pt idx="3">
                  <c:v>497</c:v>
                </c:pt>
                <c:pt idx="4">
                  <c:v>358</c:v>
                </c:pt>
                <c:pt idx="5">
                  <c:v>363</c:v>
                </c:pt>
                <c:pt idx="6">
                  <c:v>385</c:v>
                </c:pt>
                <c:pt idx="7">
                  <c:v>996</c:v>
                </c:pt>
                <c:pt idx="8">
                  <c:v>1294</c:v>
                </c:pt>
                <c:pt idx="9">
                  <c:v>917</c:v>
                </c:pt>
                <c:pt idx="10">
                  <c:v>1125</c:v>
                </c:pt>
                <c:pt idx="11">
                  <c:v>1011</c:v>
                </c:pt>
                <c:pt idx="12">
                  <c:v>1119</c:v>
                </c:pt>
                <c:pt idx="13">
                  <c:v>1227</c:v>
                </c:pt>
                <c:pt idx="14">
                  <c:v>1654</c:v>
                </c:pt>
                <c:pt idx="15">
                  <c:v>1443</c:v>
                </c:pt>
                <c:pt idx="16">
                  <c:v>1551</c:v>
                </c:pt>
                <c:pt idx="17">
                  <c:v>2487</c:v>
                </c:pt>
                <c:pt idx="18">
                  <c:v>2073</c:v>
                </c:pt>
                <c:pt idx="19">
                  <c:v>2247</c:v>
                </c:pt>
                <c:pt idx="20">
                  <c:v>667</c:v>
                </c:pt>
                <c:pt idx="21">
                  <c:v>499</c:v>
                </c:pt>
                <c:pt idx="22">
                  <c:v>308</c:v>
                </c:pt>
                <c:pt idx="23">
                  <c:v>306</c:v>
                </c:pt>
                <c:pt idx="24">
                  <c:v>995</c:v>
                </c:pt>
                <c:pt idx="25">
                  <c:v>214</c:v>
                </c:pt>
              </c:numCache>
            </c:numRef>
          </c:val>
          <c:smooth val="0"/>
          <c:extLst>
            <c:ext xmlns:c16="http://schemas.microsoft.com/office/drawing/2014/chart" uri="{C3380CC4-5D6E-409C-BE32-E72D297353CC}">
              <c16:uniqueId val="{00000000-217D-4247-B700-4451F8A26E6A}"/>
            </c:ext>
          </c:extLst>
        </c:ser>
        <c:dLbls>
          <c:showLegendKey val="0"/>
          <c:showVal val="1"/>
          <c:showCatName val="0"/>
          <c:showSerName val="0"/>
          <c:showPercent val="0"/>
          <c:showBubbleSize val="0"/>
        </c:dLbls>
        <c:axId val="109166560"/>
        <c:axId val="109164160"/>
        <c:axId val="2001359072"/>
      </c:line3DChart>
      <c:catAx>
        <c:axId val="109166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09164160"/>
        <c:crosses val="autoZero"/>
        <c:auto val="1"/>
        <c:lblAlgn val="ctr"/>
        <c:lblOffset val="100"/>
        <c:noMultiLvlLbl val="0"/>
      </c:catAx>
      <c:valAx>
        <c:axId val="1091641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166560"/>
        <c:crosses val="autoZero"/>
        <c:crossBetween val="between"/>
      </c:valAx>
      <c:serAx>
        <c:axId val="2001359072"/>
        <c:scaling>
          <c:orientation val="minMax"/>
        </c:scaling>
        <c:delete val="1"/>
        <c:axPos val="b"/>
        <c:majorTickMark val="out"/>
        <c:minorTickMark val="none"/>
        <c:tickLblPos val="nextTo"/>
        <c:crossAx val="10916416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[26.6-Excel_Dashboard_2.xlsx]Pivot 4!PivotTable10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a:t>
            </a:r>
            <a:r>
              <a:rPr lang="en-US" b="1" i="1" u="sng" baseline="0">
                <a:solidFill>
                  <a:schemeClr val="tx1"/>
                </a:solidFill>
              </a:rPr>
              <a:t> Production Cost perunit by Product Time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pivotFmt>
      <c:pivotFmt>
        <c:idx val="2"/>
        <c:spPr>
          <a:solidFill>
            <a:srgbClr val="92D050"/>
          </a:solidFill>
          <a:ln w="25400">
            <a:solidFill>
              <a:schemeClr val="bg1"/>
            </a:solidFill>
          </a:ln>
          <a:effectLst/>
          <a:sp3d contourW="25400">
            <a:contourClr>
              <a:schemeClr val="bg1"/>
            </a:contourClr>
          </a:sp3d>
        </c:spPr>
      </c:pivotFmt>
      <c:pivotFmt>
        <c:idx val="3"/>
        <c:spPr>
          <a:solidFill>
            <a:schemeClr val="accent5">
              <a:lumMod val="75000"/>
            </a:schemeClr>
          </a:solidFill>
          <a:ln w="25400">
            <a:solidFill>
              <a:schemeClr val="lt1"/>
            </a:solidFill>
          </a:ln>
          <a:effectLst/>
          <a:sp3d contourW="25400">
            <a:contourClr>
              <a:schemeClr val="lt1"/>
            </a:contourClr>
          </a:sp3d>
        </c:spPr>
      </c:pivotFmt>
      <c:pivotFmt>
        <c:idx val="4"/>
        <c:spPr>
          <a:solidFill>
            <a:schemeClr val="bg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2-2346-4420-A849-D90DC050B5FA}"/>
              </c:ext>
            </c:extLst>
          </c:dPt>
          <c:dPt>
            <c:idx val="1"/>
            <c:bubble3D val="0"/>
            <c:spPr>
              <a:solidFill>
                <a:srgbClr val="92D050"/>
              </a:solidFill>
              <a:ln w="25400">
                <a:solidFill>
                  <a:schemeClr val="bg1"/>
                </a:solidFill>
              </a:ln>
              <a:effectLst/>
              <a:sp3d contourW="25400">
                <a:contourClr>
                  <a:schemeClr val="bg1"/>
                </a:contourClr>
              </a:sp3d>
            </c:spPr>
            <c:extLst>
              <c:ext xmlns:c16="http://schemas.microsoft.com/office/drawing/2014/chart" uri="{C3380CC4-5D6E-409C-BE32-E72D297353CC}">
                <c16:uniqueId val="{00000003-2346-4420-A849-D90DC050B5FA}"/>
              </c:ext>
            </c:extLst>
          </c:dPt>
          <c:dPt>
            <c:idx val="2"/>
            <c:bubble3D val="0"/>
            <c:spPr>
              <a:solidFill>
                <a:schemeClr val="accent5">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2346-4420-A849-D90DC050B5FA}"/>
              </c:ext>
            </c:extLst>
          </c:dPt>
          <c:dPt>
            <c:idx val="3"/>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346-4420-A849-D90DC050B5F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207.5714538079169</c:v>
                </c:pt>
                <c:pt idx="1">
                  <c:v>162.49240096462344</c:v>
                </c:pt>
                <c:pt idx="2">
                  <c:v>165.32889313770596</c:v>
                </c:pt>
                <c:pt idx="3">
                  <c:v>155.6631762908184</c:v>
                </c:pt>
              </c:numCache>
            </c:numRef>
          </c:val>
          <c:extLst>
            <c:ext xmlns:c16="http://schemas.microsoft.com/office/drawing/2014/chart" uri="{C3380CC4-5D6E-409C-BE32-E72D297353CC}">
              <c16:uniqueId val="{00000000-2346-4420-A849-D90DC050B5F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[26.6-Excel_Dashboard_2.xlsx]Pivot 1 !PivotTable1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 '!$B$3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'Pivot 1 '!$A$4:$A$8</c:f>
              <c:strCache>
                <c:ptCount val="4"/>
                <c:pt idx="0">
                  <c:v>Automobiles</c:v>
                </c:pt>
                <c:pt idx="1">
                  <c:v>Electronics</c:v>
                </c:pt>
                <c:pt idx="2">
                  <c:v>Furniture</c:v>
                </c:pt>
                <c:pt idx="3">
                  <c:v>Machinery</c:v>
                </c:pt>
              </c:strCache>
            </c:strRef>
          </c:cat>
          <c:val>
            <c:numRef>
              <c:f>'Pivot 1 '!$B$4:$B$8</c:f>
              <c:numCache>
                <c:formatCode>_(* #,##0_);_(* \(#,##0\);_(* "-"??_);_(@_)</c:formatCode>
                <c:ptCount val="4"/>
                <c:pt idx="0">
                  <c:v>1212749</c:v>
                </c:pt>
                <c:pt idx="1">
                  <c:v>944874</c:v>
                </c:pt>
                <c:pt idx="2">
                  <c:v>864969</c:v>
                </c:pt>
                <c:pt idx="3">
                  <c:v>862888</c:v>
                </c:pt>
              </c:numCache>
            </c:numRef>
          </c:val>
          <c:extLst>
            <c:ext xmlns:c16="http://schemas.microsoft.com/office/drawing/2014/chart" uri="{C3380CC4-5D6E-409C-BE32-E72D297353CC}">
              <c16:uniqueId val="{00000000-4E12-4DD4-A1ED-8F960C9904BC}"/>
            </c:ext>
          </c:extLst>
        </c:ser>
        <c:dLbls>
          <c:showLegendKey val="0"/>
          <c:showVal val="0"/>
          <c:showCatName val="0"/>
          <c:showSerName val="0"/>
          <c:showPercent val="0"/>
          <c:showBubbleSize val="0"/>
        </c:dLbls>
        <c:gapWidth val="150"/>
        <c:shape val="box"/>
        <c:axId val="1989079376"/>
        <c:axId val="1989096176"/>
        <c:axId val="0"/>
      </c:bar3DChart>
      <c:catAx>
        <c:axId val="198907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9096176"/>
        <c:crosses val="autoZero"/>
        <c:auto val="1"/>
        <c:lblAlgn val="ctr"/>
        <c:lblOffset val="100"/>
        <c:noMultiLvlLbl val="0"/>
      </c:catAx>
      <c:valAx>
        <c:axId val="19890961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8907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[26.6-Excel_Dashboard_2.xlsx]Pivot 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1" u="sng">
                <a:solidFill>
                  <a:schemeClr val="tx1"/>
                </a:solidFill>
              </a:rPr>
              <a:t>No. of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tint val="66000"/>
              <a:satMod val="1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tint val="66000"/>
              <a:satMod val="1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tint val="66000"/>
              <a:satMod val="1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lumMod val="60000"/>
                <a:lumOff val="40000"/>
                <a:tint val="66000"/>
                <a:satMod val="1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2'!$A$4:$A$13</c:f>
              <c:strCache>
                <c:ptCount val="9"/>
                <c:pt idx="0">
                  <c:v>Nancy Grey</c:v>
                </c:pt>
                <c:pt idx="1">
                  <c:v>Mike Brown</c:v>
                </c:pt>
                <c:pt idx="2">
                  <c:v>Jane Smith</c:v>
                </c:pt>
                <c:pt idx="3">
                  <c:v>Andrew Blue</c:v>
                </c:pt>
                <c:pt idx="4">
                  <c:v>Emily Davis</c:v>
                </c:pt>
                <c:pt idx="5">
                  <c:v>Laura Black</c:v>
                </c:pt>
                <c:pt idx="6">
                  <c:v>John Doe</c:v>
                </c:pt>
                <c:pt idx="7">
                  <c:v>David White</c:v>
                </c:pt>
                <c:pt idx="8">
                  <c:v>Sarah Lee</c:v>
                </c:pt>
              </c:strCache>
            </c:strRef>
          </c:cat>
          <c:val>
            <c:numRef>
              <c:f>'Pivot 2'!$B$4:$B$13</c:f>
              <c:numCache>
                <c:formatCode>General</c:formatCode>
                <c:ptCount val="9"/>
                <c:pt idx="0">
                  <c:v>20</c:v>
                </c:pt>
                <c:pt idx="1">
                  <c:v>16</c:v>
                </c:pt>
                <c:pt idx="2">
                  <c:v>16</c:v>
                </c:pt>
                <c:pt idx="3">
                  <c:v>15</c:v>
                </c:pt>
                <c:pt idx="4">
                  <c:v>14</c:v>
                </c:pt>
                <c:pt idx="5">
                  <c:v>13</c:v>
                </c:pt>
                <c:pt idx="6">
                  <c:v>13</c:v>
                </c:pt>
                <c:pt idx="7">
                  <c:v>12</c:v>
                </c:pt>
                <c:pt idx="8">
                  <c:v>1</c:v>
                </c:pt>
              </c:numCache>
            </c:numRef>
          </c:val>
          <c:extLst>
            <c:ext xmlns:c16="http://schemas.microsoft.com/office/drawing/2014/chart" uri="{C3380CC4-5D6E-409C-BE32-E72D297353CC}">
              <c16:uniqueId val="{00000000-9454-411E-8050-B795E52A8E22}"/>
            </c:ext>
          </c:extLst>
        </c:ser>
        <c:dLbls>
          <c:showLegendKey val="0"/>
          <c:showVal val="1"/>
          <c:showCatName val="0"/>
          <c:showSerName val="0"/>
          <c:showPercent val="0"/>
          <c:showBubbleSize val="0"/>
        </c:dLbls>
        <c:gapWidth val="150"/>
        <c:shape val="box"/>
        <c:axId val="1989105776"/>
        <c:axId val="1989090416"/>
        <c:axId val="0"/>
      </c:bar3DChart>
      <c:catAx>
        <c:axId val="198910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9090416"/>
        <c:crosses val="autoZero"/>
        <c:auto val="1"/>
        <c:lblAlgn val="ctr"/>
        <c:lblOffset val="100"/>
        <c:noMultiLvlLbl val="0"/>
      </c:catAx>
      <c:valAx>
        <c:axId val="1989090416"/>
        <c:scaling>
          <c:orientation val="minMax"/>
        </c:scaling>
        <c:delete val="1"/>
        <c:axPos val="b"/>
        <c:numFmt formatCode="General" sourceLinked="1"/>
        <c:majorTickMark val="none"/>
        <c:minorTickMark val="none"/>
        <c:tickLblPos val="nextTo"/>
        <c:crossAx val="198910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[26.6-Excel_Dashboard_2.xlsx]Pivot 4!PivotTable10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a:t>
            </a:r>
            <a:r>
              <a:rPr lang="en-US" b="1" i="1" u="sng" baseline="0">
                <a:solidFill>
                  <a:schemeClr val="tx1"/>
                </a:solidFill>
              </a:rPr>
              <a:t> Production Cost perunit by Product Time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pivotFmt>
      <c:pivotFmt>
        <c:idx val="2"/>
        <c:spPr>
          <a:solidFill>
            <a:srgbClr val="92D050"/>
          </a:solidFill>
          <a:ln w="25400">
            <a:solidFill>
              <a:schemeClr val="bg1"/>
            </a:solidFill>
          </a:ln>
          <a:effectLst/>
          <a:sp3d contourW="25400">
            <a:contourClr>
              <a:schemeClr val="bg1"/>
            </a:contourClr>
          </a:sp3d>
        </c:spPr>
      </c:pivotFmt>
      <c:pivotFmt>
        <c:idx val="3"/>
        <c:spPr>
          <a:solidFill>
            <a:schemeClr val="accent5">
              <a:lumMod val="75000"/>
            </a:schemeClr>
          </a:solidFill>
          <a:ln w="25400">
            <a:solidFill>
              <a:schemeClr val="lt1"/>
            </a:solidFill>
          </a:ln>
          <a:effectLst/>
          <a:sp3d contourW="25400">
            <a:contourClr>
              <a:schemeClr val="lt1"/>
            </a:contourClr>
          </a:sp3d>
        </c:spPr>
      </c:pivotFmt>
      <c:pivotFmt>
        <c:idx val="4"/>
        <c:spPr>
          <a:solidFill>
            <a:schemeClr val="bg2">
              <a:lumMod val="5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25400">
            <a:solidFill>
              <a:schemeClr val="lt1"/>
            </a:solidFill>
          </a:ln>
          <a:effectLst/>
          <a:sp3d contourW="25400">
            <a:contourClr>
              <a:schemeClr val="lt1"/>
            </a:contourClr>
          </a:sp3d>
        </c:spPr>
      </c:pivotFmt>
      <c:pivotFmt>
        <c:idx val="7"/>
        <c:spPr>
          <a:solidFill>
            <a:srgbClr val="92D050"/>
          </a:solidFill>
          <a:ln w="25400">
            <a:solidFill>
              <a:schemeClr val="bg1"/>
            </a:solidFill>
          </a:ln>
          <a:effectLst/>
          <a:sp3d contourW="25400">
            <a:contourClr>
              <a:schemeClr val="bg1"/>
            </a:contourClr>
          </a:sp3d>
        </c:spPr>
      </c:pivotFmt>
      <c:pivotFmt>
        <c:idx val="8"/>
        <c:spPr>
          <a:solidFill>
            <a:schemeClr val="accent5">
              <a:lumMod val="75000"/>
            </a:schemeClr>
          </a:solidFill>
          <a:ln w="25400">
            <a:solidFill>
              <a:schemeClr val="lt1"/>
            </a:solidFill>
          </a:ln>
          <a:effectLst/>
          <a:sp3d contourW="25400">
            <a:contourClr>
              <a:schemeClr val="lt1"/>
            </a:contourClr>
          </a:sp3d>
        </c:spPr>
      </c:pivotFmt>
      <c:pivotFmt>
        <c:idx val="9"/>
        <c:spPr>
          <a:solidFill>
            <a:schemeClr val="bg2">
              <a:lumMod val="5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solidFill>
          <a:ln w="25400">
            <a:solidFill>
              <a:schemeClr val="lt1"/>
            </a:solidFill>
          </a:ln>
          <a:effectLst/>
          <a:sp3d contourW="25400">
            <a:contourClr>
              <a:schemeClr val="lt1"/>
            </a:contourClr>
          </a:sp3d>
        </c:spPr>
      </c:pivotFmt>
      <c:pivotFmt>
        <c:idx val="12"/>
        <c:spPr>
          <a:solidFill>
            <a:srgbClr val="92D050"/>
          </a:solidFill>
          <a:ln w="25400">
            <a:solidFill>
              <a:schemeClr val="bg1"/>
            </a:solidFill>
          </a:ln>
          <a:effectLst/>
          <a:sp3d contourW="25400">
            <a:contourClr>
              <a:schemeClr val="bg1"/>
            </a:contourClr>
          </a:sp3d>
        </c:spPr>
      </c:pivotFmt>
      <c:pivotFmt>
        <c:idx val="13"/>
        <c:spPr>
          <a:solidFill>
            <a:schemeClr val="accent5">
              <a:lumMod val="75000"/>
            </a:schemeClr>
          </a:solidFill>
          <a:ln w="25400">
            <a:solidFill>
              <a:schemeClr val="lt1"/>
            </a:solidFill>
          </a:ln>
          <a:effectLst/>
          <a:sp3d contourW="25400">
            <a:contourClr>
              <a:schemeClr val="lt1"/>
            </a:contourClr>
          </a:sp3d>
        </c:spPr>
      </c:pivotFmt>
      <c:pivotFmt>
        <c:idx val="14"/>
        <c:spPr>
          <a:solidFill>
            <a:schemeClr val="bg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2906-461C-B1DA-3D25DC7B4645}"/>
              </c:ext>
            </c:extLst>
          </c:dPt>
          <c:dPt>
            <c:idx val="1"/>
            <c:bubble3D val="0"/>
            <c:spPr>
              <a:solidFill>
                <a:srgbClr val="92D050"/>
              </a:solidFill>
              <a:ln w="25400">
                <a:solidFill>
                  <a:schemeClr val="bg1"/>
                </a:solidFill>
              </a:ln>
              <a:effectLst/>
              <a:sp3d contourW="25400">
                <a:contourClr>
                  <a:schemeClr val="bg1"/>
                </a:contourClr>
              </a:sp3d>
            </c:spPr>
            <c:extLst>
              <c:ext xmlns:c16="http://schemas.microsoft.com/office/drawing/2014/chart" uri="{C3380CC4-5D6E-409C-BE32-E72D297353CC}">
                <c16:uniqueId val="{00000003-2906-461C-B1DA-3D25DC7B4645}"/>
              </c:ext>
            </c:extLst>
          </c:dPt>
          <c:dPt>
            <c:idx val="2"/>
            <c:bubble3D val="0"/>
            <c:spPr>
              <a:solidFill>
                <a:schemeClr val="accent5">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906-461C-B1DA-3D25DC7B4645}"/>
              </c:ext>
            </c:extLst>
          </c:dPt>
          <c:dPt>
            <c:idx val="3"/>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906-461C-B1DA-3D25DC7B46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207.5714538079169</c:v>
                </c:pt>
                <c:pt idx="1">
                  <c:v>162.49240096462344</c:v>
                </c:pt>
                <c:pt idx="2">
                  <c:v>165.32889313770596</c:v>
                </c:pt>
                <c:pt idx="3">
                  <c:v>155.6631762908184</c:v>
                </c:pt>
              </c:numCache>
            </c:numRef>
          </c:val>
          <c:extLst>
            <c:ext xmlns:c16="http://schemas.microsoft.com/office/drawing/2014/chart" uri="{C3380CC4-5D6E-409C-BE32-E72D297353CC}">
              <c16:uniqueId val="{00000008-2906-461C-B1DA-3D25DC7B464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[26.6-Excel_Dashboard_2.xlsx]Pivot 3!PivotTable9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Unit</a:t>
            </a:r>
            <a:r>
              <a:rPr lang="en-US" b="1" i="1" u="sng" baseline="0">
                <a:solidFill>
                  <a:sysClr val="windowText" lastClr="000000"/>
                </a:solidFill>
              </a:rPr>
              <a:t>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dLbl>
          <c:idx val="0"/>
          <c:layout>
            <c:manualLayout>
              <c:x val="1.4787430683918669E-2"/>
              <c:y val="-5.1391862955032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dLbl>
          <c:idx val="0"/>
          <c:layout>
            <c:manualLayout>
              <c:x val="-2.0332717190388101E-2"/>
              <c:y val="-5.56745182012847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dLbl>
          <c:idx val="0"/>
          <c:layout>
            <c:manualLayout>
              <c:x val="-3.696857670979803E-3"/>
              <c:y val="5.13918629550321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sp3d/>
        </c:spPr>
        <c:dLbl>
          <c:idx val="0"/>
          <c:layout>
            <c:manualLayout>
              <c:x val="-1.6943735256514594E-17"/>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p3d/>
        </c:spPr>
        <c:dLbl>
          <c:idx val="0"/>
          <c:layout>
            <c:manualLayout>
              <c:x val="9.2421441774490319E-3"/>
              <c:y val="-5.13918629550321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sp3d/>
        </c:spPr>
        <c:dLbl>
          <c:idx val="0"/>
          <c:layout>
            <c:manualLayout>
              <c:x val="-1.3554988205211675E-16"/>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sp3d/>
        </c:spPr>
        <c:dLbl>
          <c:idx val="0"/>
          <c:layout>
            <c:manualLayout>
              <c:x val="9.242144177449169E-3"/>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sp3d/>
        </c:spPr>
        <c:dLbl>
          <c:idx val="0"/>
          <c:layout>
            <c:manualLayout>
              <c:x val="1.109057301293900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sp3d/>
        </c:spPr>
        <c:dLbl>
          <c:idx val="0"/>
          <c:layout>
            <c:manualLayout>
              <c:x val="-1.2939001848428836E-2"/>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a:sp3d/>
        </c:spPr>
        <c:dLbl>
          <c:idx val="0"/>
          <c:layout>
            <c:manualLayout>
              <c:x val="9.242144177449169E-3"/>
              <c:y val="-3.42612419700214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a:sp3d/>
        </c:spPr>
        <c:dLbl>
          <c:idx val="0"/>
          <c:layout>
            <c:manualLayout>
              <c:x val="1.1090573012938934E-2"/>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a:sp3d/>
        </c:spPr>
        <c:dLbl>
          <c:idx val="0"/>
          <c:layout>
            <c:manualLayout>
              <c:x val="-3.6968576709796672E-3"/>
              <c:y val="-4.7109207708779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a:sp3d/>
        </c:spPr>
        <c:dLbl>
          <c:idx val="0"/>
          <c:layout>
            <c:manualLayout>
              <c:x val="5.5452865064695009E-3"/>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a:sp3d/>
        </c:spPr>
        <c:dLbl>
          <c:idx val="0"/>
          <c:layout>
            <c:manualLayout>
              <c:x val="1.8484288354898336E-3"/>
              <c:y val="-2.56959314775161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a:sp3d/>
        </c:spPr>
        <c:dLbl>
          <c:idx val="0"/>
          <c:layout>
            <c:manualLayout>
              <c:x val="-6.7774941026058376E-17"/>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a:sp3d/>
        </c:spPr>
        <c:dLbl>
          <c:idx val="0"/>
          <c:layout>
            <c:manualLayout>
              <c:x val="-3.6968576709797349E-3"/>
              <c:y val="-4.28265524625267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a:sp3d/>
        </c:spPr>
        <c:dLbl>
          <c:idx val="0"/>
          <c:layout>
            <c:manualLayout>
              <c:x val="1.8484288354898336E-3"/>
              <c:y val="4.28265524625266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a:sp3d/>
        </c:spPr>
        <c:dLbl>
          <c:idx val="0"/>
          <c:layout>
            <c:manualLayout>
              <c:x val="1.8484288354898336E-3"/>
              <c:y val="-7.7087794432548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a:sp3d/>
        </c:spPr>
        <c:dLbl>
          <c:idx val="0"/>
          <c:layout>
            <c:manualLayout>
              <c:x val="0"/>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a:sp3d/>
        </c:spPr>
        <c:dLbl>
          <c:idx val="0"/>
          <c:layout>
            <c:manualLayout>
              <c:x val="-1.6943735256514594E-17"/>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a:sp3d/>
        </c:spPr>
        <c:dLbl>
          <c:idx val="0"/>
          <c:layout>
            <c:manualLayout>
              <c:x val="0"/>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75000"/>
            </a:schemeClr>
          </a:solidFill>
          <a:ln>
            <a:noFill/>
          </a:ln>
          <a:effectLst/>
          <a:sp3d/>
        </c:spPr>
        <c:dLbl>
          <c:idx val="0"/>
          <c:layout>
            <c:manualLayout>
              <c:x val="1.8484288354898336E-3"/>
              <c:y val="-7.7087794432548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a:sp3d/>
        </c:spPr>
        <c:dLbl>
          <c:idx val="0"/>
          <c:layout>
            <c:manualLayout>
              <c:x val="1.8484288354898336E-3"/>
              <c:y val="4.28265524625266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75000"/>
            </a:schemeClr>
          </a:solidFill>
          <a:ln>
            <a:noFill/>
          </a:ln>
          <a:effectLst/>
          <a:sp3d/>
        </c:spPr>
        <c:dLbl>
          <c:idx val="0"/>
          <c:layout>
            <c:manualLayout>
              <c:x val="-3.6968576709797349E-3"/>
              <c:y val="-4.28265524625267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75000"/>
            </a:schemeClr>
          </a:solidFill>
          <a:ln>
            <a:noFill/>
          </a:ln>
          <a:effectLst/>
          <a:sp3d/>
        </c:spPr>
        <c:dLbl>
          <c:idx val="0"/>
          <c:layout>
            <c:manualLayout>
              <c:x val="-6.7774941026058376E-17"/>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a:sp3d/>
        </c:spPr>
        <c:dLbl>
          <c:idx val="0"/>
          <c:layout>
            <c:manualLayout>
              <c:x val="1.8484288354898336E-3"/>
              <c:y val="-2.56959314775161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75000"/>
            </a:schemeClr>
          </a:solidFill>
          <a:ln>
            <a:noFill/>
          </a:ln>
          <a:effectLst/>
          <a:sp3d/>
        </c:spPr>
        <c:dLbl>
          <c:idx val="0"/>
          <c:layout>
            <c:manualLayout>
              <c:x val="5.5452865064695009E-3"/>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75000"/>
            </a:schemeClr>
          </a:solidFill>
          <a:ln>
            <a:noFill/>
          </a:ln>
          <a:effectLst/>
          <a:sp3d/>
        </c:spPr>
        <c:dLbl>
          <c:idx val="0"/>
          <c:layout>
            <c:manualLayout>
              <c:x val="-3.6968576709796672E-3"/>
              <c:y val="-4.7109207708779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75000"/>
            </a:schemeClr>
          </a:solidFill>
          <a:ln>
            <a:noFill/>
          </a:ln>
          <a:effectLst/>
          <a:sp3d/>
        </c:spPr>
        <c:dLbl>
          <c:idx val="0"/>
          <c:layout>
            <c:manualLayout>
              <c:x val="1.1090573012938934E-2"/>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75000"/>
            </a:schemeClr>
          </a:solidFill>
          <a:ln>
            <a:noFill/>
          </a:ln>
          <a:effectLst/>
          <a:sp3d/>
        </c:spPr>
        <c:dLbl>
          <c:idx val="0"/>
          <c:layout>
            <c:manualLayout>
              <c:x val="9.242144177449169E-3"/>
              <c:y val="-3.42612419700214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75000"/>
            </a:schemeClr>
          </a:solidFill>
          <a:ln>
            <a:noFill/>
          </a:ln>
          <a:effectLst/>
          <a:sp3d/>
        </c:spPr>
        <c:dLbl>
          <c:idx val="0"/>
          <c:layout>
            <c:manualLayout>
              <c:x val="-1.2939001848428836E-2"/>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75000"/>
            </a:schemeClr>
          </a:solidFill>
          <a:ln>
            <a:noFill/>
          </a:ln>
          <a:effectLst/>
          <a:sp3d/>
        </c:spPr>
        <c:dLbl>
          <c:idx val="0"/>
          <c:layout>
            <c:manualLayout>
              <c:x val="1.109057301293900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75000"/>
            </a:schemeClr>
          </a:solidFill>
          <a:ln>
            <a:noFill/>
          </a:ln>
          <a:effectLst/>
          <a:sp3d/>
        </c:spPr>
        <c:dLbl>
          <c:idx val="0"/>
          <c:layout>
            <c:manualLayout>
              <c:x val="-2.0332717190388101E-2"/>
              <c:y val="-5.56745182012847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a:sp3d/>
        </c:spPr>
        <c:dLbl>
          <c:idx val="0"/>
          <c:layout>
            <c:manualLayout>
              <c:x val="-3.696857670979803E-3"/>
              <c:y val="5.13918629550321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75000"/>
            </a:schemeClr>
          </a:solidFill>
          <a:ln>
            <a:noFill/>
          </a:ln>
          <a:effectLst/>
          <a:sp3d/>
        </c:spPr>
        <c:dLbl>
          <c:idx val="0"/>
          <c:layout>
            <c:manualLayout>
              <c:x val="1.4787430683918669E-2"/>
              <c:y val="-5.1391862955032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75000"/>
            </a:schemeClr>
          </a:solidFill>
          <a:ln>
            <a:noFill/>
          </a:ln>
          <a:effectLst/>
          <a:sp3d/>
        </c:spPr>
        <c:dLbl>
          <c:idx val="0"/>
          <c:layout>
            <c:manualLayout>
              <c:x val="9.242144177449169E-3"/>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lumMod val="75000"/>
            </a:schemeClr>
          </a:solidFill>
          <a:ln>
            <a:noFill/>
          </a:ln>
          <a:effectLst/>
          <a:sp3d/>
        </c:spPr>
        <c:dLbl>
          <c:idx val="0"/>
          <c:layout>
            <c:manualLayout>
              <c:x val="-1.3554988205211675E-16"/>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75000"/>
            </a:schemeClr>
          </a:solidFill>
          <a:ln>
            <a:noFill/>
          </a:ln>
          <a:effectLst/>
          <a:sp3d/>
        </c:spPr>
        <c:dLbl>
          <c:idx val="0"/>
          <c:layout>
            <c:manualLayout>
              <c:x val="9.2421441774490319E-3"/>
              <c:y val="-5.13918629550321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lumMod val="75000"/>
            </a:schemeClr>
          </a:solidFill>
          <a:ln>
            <a:noFill/>
          </a:ln>
          <a:effectLst/>
          <a:sp3d/>
        </c:spPr>
        <c:dLbl>
          <c:idx val="0"/>
          <c:layout>
            <c:manualLayout>
              <c:x val="-1.6943735256514594E-17"/>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lumMod val="75000"/>
            </a:schemeClr>
          </a:solidFill>
          <a:ln>
            <a:noFill/>
          </a:ln>
          <a:effectLst/>
          <a:sp3d/>
        </c:spPr>
        <c:dLbl>
          <c:idx val="0"/>
          <c:layout>
            <c:manualLayout>
              <c:x val="0"/>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lumMod val="75000"/>
            </a:schemeClr>
          </a:solidFill>
          <a:ln>
            <a:noFill/>
          </a:ln>
          <a:effectLst/>
          <a:sp3d/>
        </c:spPr>
        <c:dLbl>
          <c:idx val="0"/>
          <c:layout>
            <c:manualLayout>
              <c:x val="1.8484288354898336E-3"/>
              <c:y val="-7.7087794432548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75000"/>
            </a:schemeClr>
          </a:solidFill>
          <a:ln>
            <a:noFill/>
          </a:ln>
          <a:effectLst/>
          <a:sp3d/>
        </c:spPr>
        <c:dLbl>
          <c:idx val="0"/>
          <c:layout>
            <c:manualLayout>
              <c:x val="1.8484288354898336E-3"/>
              <c:y val="4.28265524625266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lumMod val="75000"/>
            </a:schemeClr>
          </a:solidFill>
          <a:ln>
            <a:noFill/>
          </a:ln>
          <a:effectLst/>
          <a:sp3d/>
        </c:spPr>
        <c:dLbl>
          <c:idx val="0"/>
          <c:layout>
            <c:manualLayout>
              <c:x val="-3.6968576709797349E-3"/>
              <c:y val="-4.28265524625267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lumMod val="75000"/>
            </a:schemeClr>
          </a:solidFill>
          <a:ln>
            <a:noFill/>
          </a:ln>
          <a:effectLst/>
          <a:sp3d/>
        </c:spPr>
        <c:dLbl>
          <c:idx val="0"/>
          <c:layout>
            <c:manualLayout>
              <c:x val="-6.7774941026058376E-17"/>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lumMod val="75000"/>
            </a:schemeClr>
          </a:solidFill>
          <a:ln>
            <a:noFill/>
          </a:ln>
          <a:effectLst/>
          <a:sp3d/>
        </c:spPr>
        <c:dLbl>
          <c:idx val="0"/>
          <c:layout>
            <c:manualLayout>
              <c:x val="1.8484288354898336E-3"/>
              <c:y val="-2.56959314775161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75000"/>
            </a:schemeClr>
          </a:solidFill>
          <a:ln>
            <a:noFill/>
          </a:ln>
          <a:effectLst/>
          <a:sp3d/>
        </c:spPr>
        <c:dLbl>
          <c:idx val="0"/>
          <c:layout>
            <c:manualLayout>
              <c:x val="5.5452865064695009E-3"/>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lumMod val="75000"/>
            </a:schemeClr>
          </a:solidFill>
          <a:ln>
            <a:noFill/>
          </a:ln>
          <a:effectLst/>
          <a:sp3d/>
        </c:spPr>
        <c:dLbl>
          <c:idx val="0"/>
          <c:layout>
            <c:manualLayout>
              <c:x val="-3.6968576709796672E-3"/>
              <c:y val="-4.7109207708779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75000"/>
            </a:schemeClr>
          </a:solidFill>
          <a:ln>
            <a:noFill/>
          </a:ln>
          <a:effectLst/>
          <a:sp3d/>
        </c:spPr>
        <c:dLbl>
          <c:idx val="0"/>
          <c:layout>
            <c:manualLayout>
              <c:x val="1.1090573012938934E-2"/>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75000"/>
            </a:schemeClr>
          </a:solidFill>
          <a:ln>
            <a:noFill/>
          </a:ln>
          <a:effectLst/>
          <a:sp3d/>
        </c:spPr>
        <c:dLbl>
          <c:idx val="0"/>
          <c:layout>
            <c:manualLayout>
              <c:x val="9.242144177449169E-3"/>
              <c:y val="-3.42612419700214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75000"/>
            </a:schemeClr>
          </a:solidFill>
          <a:ln>
            <a:noFill/>
          </a:ln>
          <a:effectLst/>
          <a:sp3d/>
        </c:spPr>
        <c:dLbl>
          <c:idx val="0"/>
          <c:layout>
            <c:manualLayout>
              <c:x val="-1.2939001848428836E-2"/>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lumMod val="75000"/>
            </a:schemeClr>
          </a:solidFill>
          <a:ln>
            <a:noFill/>
          </a:ln>
          <a:effectLst/>
          <a:sp3d/>
        </c:spPr>
        <c:dLbl>
          <c:idx val="0"/>
          <c:layout>
            <c:manualLayout>
              <c:x val="1.109057301293900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lumMod val="75000"/>
            </a:schemeClr>
          </a:solidFill>
          <a:ln>
            <a:noFill/>
          </a:ln>
          <a:effectLst/>
          <a:sp3d/>
        </c:spPr>
        <c:dLbl>
          <c:idx val="0"/>
          <c:layout>
            <c:manualLayout>
              <c:x val="-2.0332717190388101E-2"/>
              <c:y val="-5.56745182012847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lumMod val="75000"/>
            </a:schemeClr>
          </a:solidFill>
          <a:ln>
            <a:noFill/>
          </a:ln>
          <a:effectLst/>
          <a:sp3d/>
        </c:spPr>
        <c:dLbl>
          <c:idx val="0"/>
          <c:layout>
            <c:manualLayout>
              <c:x val="-3.696857670979803E-3"/>
              <c:y val="5.13918629550321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lumMod val="75000"/>
            </a:schemeClr>
          </a:solidFill>
          <a:ln>
            <a:noFill/>
          </a:ln>
          <a:effectLst/>
          <a:sp3d/>
        </c:spPr>
        <c:dLbl>
          <c:idx val="0"/>
          <c:layout>
            <c:manualLayout>
              <c:x val="1.4787430683918669E-2"/>
              <c:y val="-5.1391862955032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lumMod val="75000"/>
            </a:schemeClr>
          </a:solidFill>
          <a:ln>
            <a:noFill/>
          </a:ln>
          <a:effectLst/>
          <a:sp3d/>
        </c:spPr>
        <c:dLbl>
          <c:idx val="0"/>
          <c:layout>
            <c:manualLayout>
              <c:x val="9.242144177449169E-3"/>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lumMod val="75000"/>
            </a:schemeClr>
          </a:solidFill>
          <a:ln>
            <a:noFill/>
          </a:ln>
          <a:effectLst/>
          <a:sp3d/>
        </c:spPr>
        <c:dLbl>
          <c:idx val="0"/>
          <c:layout>
            <c:manualLayout>
              <c:x val="-1.3554988205211675E-16"/>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lumMod val="75000"/>
            </a:schemeClr>
          </a:solidFill>
          <a:ln>
            <a:noFill/>
          </a:ln>
          <a:effectLst/>
          <a:sp3d/>
        </c:spPr>
        <c:dLbl>
          <c:idx val="0"/>
          <c:layout>
            <c:manualLayout>
              <c:x val="9.2421441774490319E-3"/>
              <c:y val="-5.13918629550321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6">
                <a:lumMod val="75000"/>
              </a:schemeClr>
            </a:solidFill>
            <a:ln>
              <a:noFill/>
            </a:ln>
            <a:effectLst/>
            <a:sp3d/>
          </c:spPr>
          <c:dPt>
            <c:idx val="0"/>
            <c:bubble3D val="0"/>
            <c:extLst>
              <c:ext xmlns:c16="http://schemas.microsoft.com/office/drawing/2014/chart" uri="{C3380CC4-5D6E-409C-BE32-E72D297353CC}">
                <c16:uniqueId val="{00000000-94DF-4085-AB80-1C9435B156A3}"/>
              </c:ext>
            </c:extLst>
          </c:dPt>
          <c:dPt>
            <c:idx val="2"/>
            <c:bubble3D val="0"/>
            <c:extLst>
              <c:ext xmlns:c16="http://schemas.microsoft.com/office/drawing/2014/chart" uri="{C3380CC4-5D6E-409C-BE32-E72D297353CC}">
                <c16:uniqueId val="{00000002-94DF-4085-AB80-1C9435B156A3}"/>
              </c:ext>
            </c:extLst>
          </c:dPt>
          <c:dPt>
            <c:idx val="4"/>
            <c:bubble3D val="0"/>
          </c:dPt>
          <c:dPt>
            <c:idx val="5"/>
            <c:bubble3D val="0"/>
            <c:extLst>
              <c:ext xmlns:c16="http://schemas.microsoft.com/office/drawing/2014/chart" uri="{C3380CC4-5D6E-409C-BE32-E72D297353CC}">
                <c16:uniqueId val="{00000005-94DF-4085-AB80-1C9435B156A3}"/>
              </c:ext>
            </c:extLst>
          </c:dPt>
          <c:dPt>
            <c:idx val="7"/>
            <c:bubble3D val="0"/>
            <c:extLst>
              <c:ext xmlns:c16="http://schemas.microsoft.com/office/drawing/2014/chart" uri="{C3380CC4-5D6E-409C-BE32-E72D297353CC}">
                <c16:uniqueId val="{00000006-94DF-4085-AB80-1C9435B156A3}"/>
              </c:ext>
            </c:extLst>
          </c:dPt>
          <c:dPt>
            <c:idx val="8"/>
            <c:bubble3D val="0"/>
            <c:extLst>
              <c:ext xmlns:c16="http://schemas.microsoft.com/office/drawing/2014/chart" uri="{C3380CC4-5D6E-409C-BE32-E72D297353CC}">
                <c16:uniqueId val="{00000007-94DF-4085-AB80-1C9435B156A3}"/>
              </c:ext>
            </c:extLst>
          </c:dPt>
          <c:dPt>
            <c:idx val="9"/>
            <c:bubble3D val="0"/>
            <c:extLst>
              <c:ext xmlns:c16="http://schemas.microsoft.com/office/drawing/2014/chart" uri="{C3380CC4-5D6E-409C-BE32-E72D297353CC}">
                <c16:uniqueId val="{00000008-94DF-4085-AB80-1C9435B156A3}"/>
              </c:ext>
            </c:extLst>
          </c:dPt>
          <c:dPt>
            <c:idx val="10"/>
            <c:bubble3D val="0"/>
            <c:extLst>
              <c:ext xmlns:c16="http://schemas.microsoft.com/office/drawing/2014/chart" uri="{C3380CC4-5D6E-409C-BE32-E72D297353CC}">
                <c16:uniqueId val="{00000009-94DF-4085-AB80-1C9435B156A3}"/>
              </c:ext>
            </c:extLst>
          </c:dPt>
          <c:dPt>
            <c:idx val="11"/>
            <c:bubble3D val="0"/>
            <c:extLst>
              <c:ext xmlns:c16="http://schemas.microsoft.com/office/drawing/2014/chart" uri="{C3380CC4-5D6E-409C-BE32-E72D297353CC}">
                <c16:uniqueId val="{0000000A-94DF-4085-AB80-1C9435B156A3}"/>
              </c:ext>
            </c:extLst>
          </c:dPt>
          <c:dPt>
            <c:idx val="12"/>
            <c:bubble3D val="0"/>
            <c:extLst>
              <c:ext xmlns:c16="http://schemas.microsoft.com/office/drawing/2014/chart" uri="{C3380CC4-5D6E-409C-BE32-E72D297353CC}">
                <c16:uniqueId val="{0000000B-94DF-4085-AB80-1C9435B156A3}"/>
              </c:ext>
            </c:extLst>
          </c:dPt>
          <c:dPt>
            <c:idx val="13"/>
            <c:bubble3D val="0"/>
            <c:extLst>
              <c:ext xmlns:c16="http://schemas.microsoft.com/office/drawing/2014/chart" uri="{C3380CC4-5D6E-409C-BE32-E72D297353CC}">
                <c16:uniqueId val="{0000000C-94DF-4085-AB80-1C9435B156A3}"/>
              </c:ext>
            </c:extLst>
          </c:dPt>
          <c:dPt>
            <c:idx val="14"/>
            <c:bubble3D val="0"/>
            <c:extLst>
              <c:ext xmlns:c16="http://schemas.microsoft.com/office/drawing/2014/chart" uri="{C3380CC4-5D6E-409C-BE32-E72D297353CC}">
                <c16:uniqueId val="{0000000D-94DF-4085-AB80-1C9435B156A3}"/>
              </c:ext>
            </c:extLst>
          </c:dPt>
          <c:dPt>
            <c:idx val="15"/>
            <c:bubble3D val="0"/>
            <c:extLst>
              <c:ext xmlns:c16="http://schemas.microsoft.com/office/drawing/2014/chart" uri="{C3380CC4-5D6E-409C-BE32-E72D297353CC}">
                <c16:uniqueId val="{0000000E-94DF-4085-AB80-1C9435B156A3}"/>
              </c:ext>
            </c:extLst>
          </c:dPt>
          <c:dPt>
            <c:idx val="16"/>
            <c:bubble3D val="0"/>
            <c:extLst>
              <c:ext xmlns:c16="http://schemas.microsoft.com/office/drawing/2014/chart" uri="{C3380CC4-5D6E-409C-BE32-E72D297353CC}">
                <c16:uniqueId val="{0000000F-94DF-4085-AB80-1C9435B156A3}"/>
              </c:ext>
            </c:extLst>
          </c:dPt>
          <c:dPt>
            <c:idx val="17"/>
            <c:bubble3D val="0"/>
            <c:extLst>
              <c:ext xmlns:c16="http://schemas.microsoft.com/office/drawing/2014/chart" uri="{C3380CC4-5D6E-409C-BE32-E72D297353CC}">
                <c16:uniqueId val="{00000010-94DF-4085-AB80-1C9435B156A3}"/>
              </c:ext>
            </c:extLst>
          </c:dPt>
          <c:dPt>
            <c:idx val="18"/>
            <c:bubble3D val="0"/>
            <c:extLst>
              <c:ext xmlns:c16="http://schemas.microsoft.com/office/drawing/2014/chart" uri="{C3380CC4-5D6E-409C-BE32-E72D297353CC}">
                <c16:uniqueId val="{00000011-94DF-4085-AB80-1C9435B156A3}"/>
              </c:ext>
            </c:extLst>
          </c:dPt>
          <c:dPt>
            <c:idx val="19"/>
            <c:bubble3D val="0"/>
            <c:extLst>
              <c:ext xmlns:c16="http://schemas.microsoft.com/office/drawing/2014/chart" uri="{C3380CC4-5D6E-409C-BE32-E72D297353CC}">
                <c16:uniqueId val="{00000012-94DF-4085-AB80-1C9435B156A3}"/>
              </c:ext>
            </c:extLst>
          </c:dPt>
          <c:dPt>
            <c:idx val="20"/>
            <c:bubble3D val="0"/>
          </c:dPt>
          <c:dPt>
            <c:idx val="21"/>
            <c:bubble3D val="0"/>
          </c:dPt>
          <c:dLbls>
            <c:dLbl>
              <c:idx val="0"/>
              <c:layout>
                <c:manualLayout>
                  <c:x val="-7.3937153419593345E-3"/>
                  <c:y val="1.284796573875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DF-4085-AB80-1C9435B156A3}"/>
                </c:ext>
              </c:extLst>
            </c:dLbl>
            <c:dLbl>
              <c:idx val="1"/>
              <c:layout>
                <c:manualLayout>
                  <c:x val="-1.6943735256514594E-17"/>
                  <c:y val="-3.4261241970021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DF-4085-AB80-1C9435B156A3}"/>
                </c:ext>
              </c:extLst>
            </c:dLbl>
            <c:dLbl>
              <c:idx val="2"/>
              <c:layout>
                <c:manualLayout>
                  <c:x val="-1.1090573012939002E-2"/>
                  <c:y val="2.9978586723768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DF-4085-AB80-1C9435B156A3}"/>
                </c:ext>
              </c:extLst>
            </c:dLbl>
            <c:dLbl>
              <c:idx val="3"/>
              <c:layout>
                <c:manualLayout>
                  <c:x val="0"/>
                  <c:y val="-3.8543897216274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DF-4085-AB80-1C9435B156A3}"/>
                </c:ext>
              </c:extLst>
            </c:dLbl>
            <c:dLbl>
              <c:idx val="4"/>
              <c:layout>
                <c:manualLayout>
                  <c:x val="0"/>
                  <c:y val="4.7109207708779362E-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8484288354898336E-3"/>
                  <c:y val="-7.7087794432548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DF-4085-AB80-1C9435B156A3}"/>
                </c:ext>
              </c:extLst>
            </c:dLbl>
            <c:dLbl>
              <c:idx val="7"/>
              <c:layout>
                <c:manualLayout>
                  <c:x val="1.8484288354898336E-3"/>
                  <c:y val="4.28265524625266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DF-4085-AB80-1C9435B156A3}"/>
                </c:ext>
              </c:extLst>
            </c:dLbl>
            <c:dLbl>
              <c:idx val="8"/>
              <c:layout>
                <c:manualLayout>
                  <c:x val="-3.6968576709797349E-3"/>
                  <c:y val="-4.28265524625267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DF-4085-AB80-1C9435B156A3}"/>
                </c:ext>
              </c:extLst>
            </c:dLbl>
            <c:dLbl>
              <c:idx val="9"/>
              <c:layout>
                <c:manualLayout>
                  <c:x val="-6.7774941026058376E-17"/>
                  <c:y val="3.8543897216274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4DF-4085-AB80-1C9435B156A3}"/>
                </c:ext>
              </c:extLst>
            </c:dLbl>
            <c:dLbl>
              <c:idx val="10"/>
              <c:layout>
                <c:manualLayout>
                  <c:x val="1.8484288354898336E-3"/>
                  <c:y val="-2.5695931477516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DF-4085-AB80-1C9435B156A3}"/>
                </c:ext>
              </c:extLst>
            </c:dLbl>
            <c:dLbl>
              <c:idx val="11"/>
              <c:layout>
                <c:manualLayout>
                  <c:x val="5.5452865064695009E-3"/>
                  <c:y val="3.4261241970021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4DF-4085-AB80-1C9435B156A3}"/>
                </c:ext>
              </c:extLst>
            </c:dLbl>
            <c:dLbl>
              <c:idx val="12"/>
              <c:layout>
                <c:manualLayout>
                  <c:x val="-3.6968576709796672E-3"/>
                  <c:y val="-4.7109207708779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4DF-4085-AB80-1C9435B156A3}"/>
                </c:ext>
              </c:extLst>
            </c:dLbl>
            <c:dLbl>
              <c:idx val="13"/>
              <c:layout>
                <c:manualLayout>
                  <c:x val="1.1090573012938934E-2"/>
                  <c:y val="2.569593147751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4DF-4085-AB80-1C9435B156A3}"/>
                </c:ext>
              </c:extLst>
            </c:dLbl>
            <c:dLbl>
              <c:idx val="14"/>
              <c:layout>
                <c:manualLayout>
                  <c:x val="9.242144177449169E-3"/>
                  <c:y val="-3.4261241970021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4DF-4085-AB80-1C9435B156A3}"/>
                </c:ext>
              </c:extLst>
            </c:dLbl>
            <c:dLbl>
              <c:idx val="15"/>
              <c:layout>
                <c:manualLayout>
                  <c:x val="-1.2939001848428836E-2"/>
                  <c:y val="4.7109207708779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4DF-4085-AB80-1C9435B156A3}"/>
                </c:ext>
              </c:extLst>
            </c:dLbl>
            <c:dLbl>
              <c:idx val="16"/>
              <c:layout>
                <c:manualLayout>
                  <c:x val="1.10905730129390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4DF-4085-AB80-1C9435B156A3}"/>
                </c:ext>
              </c:extLst>
            </c:dLbl>
            <c:dLbl>
              <c:idx val="17"/>
              <c:layout>
                <c:manualLayout>
                  <c:x val="-2.0332717190388101E-2"/>
                  <c:y val="-5.5674518201284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4DF-4085-AB80-1C9435B156A3}"/>
                </c:ext>
              </c:extLst>
            </c:dLbl>
            <c:dLbl>
              <c:idx val="18"/>
              <c:layout>
                <c:manualLayout>
                  <c:x val="-3.696857670979803E-3"/>
                  <c:y val="5.13918629550321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4DF-4085-AB80-1C9435B156A3}"/>
                </c:ext>
              </c:extLst>
            </c:dLbl>
            <c:dLbl>
              <c:idx val="19"/>
              <c:layout>
                <c:manualLayout>
                  <c:x val="1.4787430683918669E-2"/>
                  <c:y val="-5.1391862955032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4DF-4085-AB80-1C9435B156A3}"/>
                </c:ext>
              </c:extLst>
            </c:dLbl>
            <c:dLbl>
              <c:idx val="20"/>
              <c:layout>
                <c:manualLayout>
                  <c:x val="9.242144177449169E-3"/>
                  <c:y val="-3.8543897216274089E-2"/>
                </c:manualLayout>
              </c:layout>
              <c:showLegendKey val="0"/>
              <c:showVal val="1"/>
              <c:showCatName val="0"/>
              <c:showSerName val="0"/>
              <c:showPercent val="0"/>
              <c:showBubbleSize val="0"/>
              <c:extLst>
                <c:ext xmlns:c15="http://schemas.microsoft.com/office/drawing/2012/chart" uri="{CE6537A1-D6FC-4f65-9D91-7224C49458BB}"/>
              </c:extLst>
            </c:dLbl>
            <c:dLbl>
              <c:idx val="21"/>
              <c:layout>
                <c:manualLayout>
                  <c:x val="-1.3554988205211675E-16"/>
                  <c:y val="-2.569593147751606E-2"/>
                </c:manualLayout>
              </c:layout>
              <c:showLegendKey val="0"/>
              <c:showVal val="1"/>
              <c:showCatName val="0"/>
              <c:showSerName val="0"/>
              <c:showPercent val="0"/>
              <c:showBubbleSize val="0"/>
              <c:extLst>
                <c:ext xmlns:c15="http://schemas.microsoft.com/office/drawing/2012/chart" uri="{CE6537A1-D6FC-4f65-9D91-7224C49458BB}"/>
              </c:extLst>
            </c:dLbl>
            <c:dLbl>
              <c:idx val="22"/>
              <c:layout>
                <c:manualLayout>
                  <c:x val="9.2421441774490319E-3"/>
                  <c:y val="-5.1391862955032196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3'!$A$4:$A$34</c:f>
              <c:multiLvlStrCache>
                <c:ptCount val="26"/>
                <c:lvl>
                  <c:pt idx="0">
                    <c:v>Apr</c:v>
                  </c:pt>
                  <c:pt idx="1">
                    <c:v>Jun</c:v>
                  </c:pt>
                  <c:pt idx="2">
                    <c:v>Jul</c:v>
                  </c:pt>
                  <c:pt idx="3">
                    <c:v>Aug</c:v>
                  </c:pt>
                  <c:pt idx="4">
                    <c:v>Nov</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Oct</c:v>
                  </c:pt>
                  <c:pt idx="25">
                    <c:v>Nov</c:v>
                  </c:pt>
                </c:lvl>
                <c:lvl>
                  <c:pt idx="0">
                    <c:v>2021</c:v>
                  </c:pt>
                  <c:pt idx="3">
                    <c:v>2022</c:v>
                  </c:pt>
                  <c:pt idx="5">
                    <c:v>2023</c:v>
                  </c:pt>
                  <c:pt idx="17">
                    <c:v>2024</c:v>
                  </c:pt>
                </c:lvl>
              </c:multiLvlStrCache>
            </c:multiLvlStrRef>
          </c:cat>
          <c:val>
            <c:numRef>
              <c:f>'Pivot 3'!$B$4:$B$34</c:f>
              <c:numCache>
                <c:formatCode>General</c:formatCode>
                <c:ptCount val="26"/>
                <c:pt idx="0">
                  <c:v>199</c:v>
                </c:pt>
                <c:pt idx="1">
                  <c:v>527</c:v>
                </c:pt>
                <c:pt idx="2">
                  <c:v>289</c:v>
                </c:pt>
                <c:pt idx="3">
                  <c:v>497</c:v>
                </c:pt>
                <c:pt idx="4">
                  <c:v>358</c:v>
                </c:pt>
                <c:pt idx="5">
                  <c:v>363</c:v>
                </c:pt>
                <c:pt idx="6">
                  <c:v>385</c:v>
                </c:pt>
                <c:pt idx="7">
                  <c:v>996</c:v>
                </c:pt>
                <c:pt idx="8">
                  <c:v>1294</c:v>
                </c:pt>
                <c:pt idx="9">
                  <c:v>917</c:v>
                </c:pt>
                <c:pt idx="10">
                  <c:v>1125</c:v>
                </c:pt>
                <c:pt idx="11">
                  <c:v>1011</c:v>
                </c:pt>
                <c:pt idx="12">
                  <c:v>1119</c:v>
                </c:pt>
                <c:pt idx="13">
                  <c:v>1227</c:v>
                </c:pt>
                <c:pt idx="14">
                  <c:v>1654</c:v>
                </c:pt>
                <c:pt idx="15">
                  <c:v>1443</c:v>
                </c:pt>
                <c:pt idx="16">
                  <c:v>1551</c:v>
                </c:pt>
                <c:pt idx="17">
                  <c:v>2487</c:v>
                </c:pt>
                <c:pt idx="18">
                  <c:v>2073</c:v>
                </c:pt>
                <c:pt idx="19">
                  <c:v>2247</c:v>
                </c:pt>
                <c:pt idx="20">
                  <c:v>667</c:v>
                </c:pt>
                <c:pt idx="21">
                  <c:v>499</c:v>
                </c:pt>
                <c:pt idx="22">
                  <c:v>308</c:v>
                </c:pt>
                <c:pt idx="23">
                  <c:v>306</c:v>
                </c:pt>
                <c:pt idx="24">
                  <c:v>995</c:v>
                </c:pt>
                <c:pt idx="25">
                  <c:v>214</c:v>
                </c:pt>
              </c:numCache>
            </c:numRef>
          </c:val>
          <c:smooth val="0"/>
          <c:extLst>
            <c:ext xmlns:c16="http://schemas.microsoft.com/office/drawing/2014/chart" uri="{C3380CC4-5D6E-409C-BE32-E72D297353CC}">
              <c16:uniqueId val="{00000016-94DF-4085-AB80-1C9435B156A3}"/>
            </c:ext>
          </c:extLst>
        </c:ser>
        <c:dLbls>
          <c:showLegendKey val="0"/>
          <c:showVal val="1"/>
          <c:showCatName val="0"/>
          <c:showSerName val="0"/>
          <c:showPercent val="0"/>
          <c:showBubbleSize val="0"/>
        </c:dLbls>
        <c:axId val="109166560"/>
        <c:axId val="109164160"/>
        <c:axId val="2001359072"/>
      </c:line3DChart>
      <c:catAx>
        <c:axId val="109166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09164160"/>
        <c:crosses val="autoZero"/>
        <c:auto val="1"/>
        <c:lblAlgn val="ctr"/>
        <c:lblOffset val="100"/>
        <c:noMultiLvlLbl val="0"/>
      </c:catAx>
      <c:valAx>
        <c:axId val="1091641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166560"/>
        <c:crosses val="autoZero"/>
        <c:crossBetween val="between"/>
      </c:valAx>
      <c:serAx>
        <c:axId val="2001359072"/>
        <c:scaling>
          <c:orientation val="minMax"/>
        </c:scaling>
        <c:delete val="1"/>
        <c:axPos val="b"/>
        <c:majorTickMark val="out"/>
        <c:minorTickMark val="none"/>
        <c:tickLblPos val="nextTo"/>
        <c:crossAx val="10916416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7184</xdr:colOff>
      <xdr:row>1</xdr:row>
      <xdr:rowOff>12700</xdr:rowOff>
    </xdr:from>
    <xdr:to>
      <xdr:col>10</xdr:col>
      <xdr:colOff>311984</xdr:colOff>
      <xdr:row>15</xdr:row>
      <xdr:rowOff>177800</xdr:rowOff>
    </xdr:to>
    <xdr:graphicFrame macro="">
      <xdr:nvGraphicFramePr>
        <xdr:cNvPr id="2" name="Chart 1">
          <a:extLst>
            <a:ext uri="{FF2B5EF4-FFF2-40B4-BE49-F238E27FC236}">
              <a16:creationId xmlns:a16="http://schemas.microsoft.com/office/drawing/2014/main" id="{736138AB-0BDF-34B5-10ED-EF0D93428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587742</xdr:colOff>
      <xdr:row>0</xdr:row>
      <xdr:rowOff>181497</xdr:rowOff>
    </xdr:from>
    <xdr:to>
      <xdr:col>13</xdr:col>
      <xdr:colOff>393732</xdr:colOff>
      <xdr:row>20</xdr:row>
      <xdr:rowOff>125036</xdr:rowOff>
    </xdr:to>
    <xdr:graphicFrame macro="">
      <xdr:nvGraphicFramePr>
        <xdr:cNvPr id="2" name="Chart 1">
          <a:extLst>
            <a:ext uri="{FF2B5EF4-FFF2-40B4-BE49-F238E27FC236}">
              <a16:creationId xmlns:a16="http://schemas.microsoft.com/office/drawing/2014/main" id="{3B1FE4D3-F194-E1F4-DAFB-F67C0FC64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425450</xdr:colOff>
      <xdr:row>2</xdr:row>
      <xdr:rowOff>6350</xdr:rowOff>
    </xdr:from>
    <xdr:to>
      <xdr:col>14</xdr:col>
      <xdr:colOff>590550</xdr:colOff>
      <xdr:row>18</xdr:row>
      <xdr:rowOff>0</xdr:rowOff>
    </xdr:to>
    <xdr:graphicFrame macro="">
      <xdr:nvGraphicFramePr>
        <xdr:cNvPr id="2" name="Chart 1">
          <a:extLst>
            <a:ext uri="{FF2B5EF4-FFF2-40B4-BE49-F238E27FC236}">
              <a16:creationId xmlns:a16="http://schemas.microsoft.com/office/drawing/2014/main" id="{1C1FDE00-7EC3-D5F5-9002-48A97AA23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12706</xdr:colOff>
      <xdr:row>1</xdr:row>
      <xdr:rowOff>0</xdr:rowOff>
    </xdr:from>
    <xdr:to>
      <xdr:col>10</xdr:col>
      <xdr:colOff>317506</xdr:colOff>
      <xdr:row>15</xdr:row>
      <xdr:rowOff>165100</xdr:rowOff>
    </xdr:to>
    <xdr:graphicFrame macro="">
      <xdr:nvGraphicFramePr>
        <xdr:cNvPr id="2" name="Chart 1">
          <a:extLst>
            <a:ext uri="{FF2B5EF4-FFF2-40B4-BE49-F238E27FC236}">
              <a16:creationId xmlns:a16="http://schemas.microsoft.com/office/drawing/2014/main" id="{89735DC2-7432-3419-8C3D-52E98C315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15741</xdr:colOff>
      <xdr:row>19</xdr:row>
      <xdr:rowOff>5067</xdr:rowOff>
    </xdr:from>
    <xdr:to>
      <xdr:col>9</xdr:col>
      <xdr:colOff>601165</xdr:colOff>
      <xdr:row>39</xdr:row>
      <xdr:rowOff>41315</xdr:rowOff>
    </xdr:to>
    <xdr:graphicFrame macro="">
      <xdr:nvGraphicFramePr>
        <xdr:cNvPr id="2" name="Chart 1">
          <a:extLst>
            <a:ext uri="{FF2B5EF4-FFF2-40B4-BE49-F238E27FC236}">
              <a16:creationId xmlns:a16="http://schemas.microsoft.com/office/drawing/2014/main" id="{B4A7EE93-E998-404C-BB93-E58759B07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1884</xdr:colOff>
      <xdr:row>19</xdr:row>
      <xdr:rowOff>19698</xdr:rowOff>
    </xdr:from>
    <xdr:to>
      <xdr:col>20</xdr:col>
      <xdr:colOff>12181</xdr:colOff>
      <xdr:row>39</xdr:row>
      <xdr:rowOff>35838</xdr:rowOff>
    </xdr:to>
    <xdr:graphicFrame macro="">
      <xdr:nvGraphicFramePr>
        <xdr:cNvPr id="3" name="Chart 2">
          <a:extLst>
            <a:ext uri="{FF2B5EF4-FFF2-40B4-BE49-F238E27FC236}">
              <a16:creationId xmlns:a16="http://schemas.microsoft.com/office/drawing/2014/main" id="{B9AFC0A6-1373-4D42-9543-309197231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9213</xdr:colOff>
      <xdr:row>40</xdr:row>
      <xdr:rowOff>180415</xdr:rowOff>
    </xdr:from>
    <xdr:to>
      <xdr:col>19</xdr:col>
      <xdr:colOff>590798</xdr:colOff>
      <xdr:row>56</xdr:row>
      <xdr:rowOff>155015</xdr:rowOff>
    </xdr:to>
    <xdr:graphicFrame macro="">
      <xdr:nvGraphicFramePr>
        <xdr:cNvPr id="5" name="Chart 4">
          <a:extLst>
            <a:ext uri="{FF2B5EF4-FFF2-40B4-BE49-F238E27FC236}">
              <a16:creationId xmlns:a16="http://schemas.microsoft.com/office/drawing/2014/main" id="{F63CBCE0-D2A1-46CB-B009-533959038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27018</xdr:colOff>
      <xdr:row>41</xdr:row>
      <xdr:rowOff>21789</xdr:rowOff>
    </xdr:from>
    <xdr:to>
      <xdr:col>10</xdr:col>
      <xdr:colOff>27019</xdr:colOff>
      <xdr:row>57</xdr:row>
      <xdr:rowOff>34489</xdr:rowOff>
    </xdr:to>
    <xdr:graphicFrame macro="">
      <xdr:nvGraphicFramePr>
        <xdr:cNvPr id="6" name="Chart 5">
          <a:extLst>
            <a:ext uri="{FF2B5EF4-FFF2-40B4-BE49-F238E27FC236}">
              <a16:creationId xmlns:a16="http://schemas.microsoft.com/office/drawing/2014/main" id="{AE680A85-1642-4A67-856F-BC9E3FC81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9837</xdr:colOff>
      <xdr:row>5</xdr:row>
      <xdr:rowOff>24654</xdr:rowOff>
    </xdr:from>
    <xdr:to>
      <xdr:col>4</xdr:col>
      <xdr:colOff>9837</xdr:colOff>
      <xdr:row>16</xdr:row>
      <xdr:rowOff>18677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F7A0F46-4C0C-7A14-1EC4-AF726CED0C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6822" y="398183"/>
              <a:ext cx="1820956" cy="2048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1368</xdr:colOff>
      <xdr:row>5</xdr:row>
      <xdr:rowOff>27891</xdr:rowOff>
    </xdr:from>
    <xdr:to>
      <xdr:col>9</xdr:col>
      <xdr:colOff>1368</xdr:colOff>
      <xdr:row>16</xdr:row>
      <xdr:rowOff>28014</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B0C3AF4F-2C10-E7C6-6B97-144D7E15D5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43280" y="401420"/>
              <a:ext cx="1820956" cy="2054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602004</xdr:colOff>
      <xdr:row>5</xdr:row>
      <xdr:rowOff>2863</xdr:rowOff>
    </xdr:from>
    <xdr:to>
      <xdr:col>13</xdr:col>
      <xdr:colOff>602004</xdr:colOff>
      <xdr:row>16</xdr:row>
      <xdr:rowOff>9338</xdr:rowOff>
    </xdr:to>
    <mc:AlternateContent xmlns:mc="http://schemas.openxmlformats.org/markup-compatibility/2006" xmlns:a14="http://schemas.microsoft.com/office/drawing/2010/main">
      <mc:Choice Requires="a14">
        <xdr:graphicFrame macro="">
          <xdr:nvGraphicFramePr>
            <xdr:cNvPr id="9" name="Age Groups">
              <a:extLst>
                <a:ext uri="{FF2B5EF4-FFF2-40B4-BE49-F238E27FC236}">
                  <a16:creationId xmlns:a16="http://schemas.microsoft.com/office/drawing/2014/main" id="{26E933D9-BD26-806B-823E-D7EFE60C0280}"/>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6671857" y="376392"/>
              <a:ext cx="1820956" cy="2060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28014</xdr:colOff>
      <xdr:row>5</xdr:row>
      <xdr:rowOff>20046</xdr:rowOff>
    </xdr:from>
    <xdr:to>
      <xdr:col>19</xdr:col>
      <xdr:colOff>55532</xdr:colOff>
      <xdr:row>16</xdr:row>
      <xdr:rowOff>18677</xdr:rowOff>
    </xdr:to>
    <mc:AlternateContent xmlns:mc="http://schemas.openxmlformats.org/markup-compatibility/2006" xmlns:a14="http://schemas.microsoft.com/office/drawing/2010/main">
      <mc:Choice Requires="a14">
        <xdr:graphicFrame macro="">
          <xdr:nvGraphicFramePr>
            <xdr:cNvPr id="10" name="Quarters (Production Date)">
              <a:extLst>
                <a:ext uri="{FF2B5EF4-FFF2-40B4-BE49-F238E27FC236}">
                  <a16:creationId xmlns:a16="http://schemas.microsoft.com/office/drawing/2014/main" id="{55438718-75A7-E60E-8146-A2747002AFD4}"/>
                </a:ext>
              </a:extLst>
            </xdr:cNvPr>
            <xdr:cNvGraphicFramePr/>
          </xdr:nvGraphicFramePr>
          <xdr:xfrm>
            <a:off x="0" y="0"/>
            <a:ext cx="0" cy="0"/>
          </xdr:xfrm>
          <a:graphic>
            <a:graphicData uri="http://schemas.microsoft.com/office/drawing/2010/slicer">
              <sle:slicer xmlns:sle="http://schemas.microsoft.com/office/drawing/2010/slicer" name="Quarters (Production Date)"/>
            </a:graphicData>
          </a:graphic>
        </xdr:graphicFrame>
      </mc:Choice>
      <mc:Fallback xmlns="">
        <xdr:sp macro="" textlink="">
          <xdr:nvSpPr>
            <xdr:cNvPr id="0" name=""/>
            <xdr:cNvSpPr>
              <a:spLocks noTextEdit="1"/>
            </xdr:cNvSpPr>
          </xdr:nvSpPr>
          <xdr:spPr>
            <a:xfrm>
              <a:off x="9739779" y="393575"/>
              <a:ext cx="1848474" cy="2053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refreshedDate="45854.616895254629" createdVersion="8" refreshedVersion="8" minRefreshableVersion="3" recordCount="120" xr:uid="{29E8DBE5-5D74-439E-A044-0373C677E76D}">
  <cacheSource type="worksheet">
    <worksheetSource ref="A1:K121" sheet="Production Dataset"/>
  </cacheSource>
  <cacheFields count="11">
    <cacheField name="Production ID" numFmtId="0">
      <sharedItems containsSemiMixedTypes="0" containsString="0" containsNumber="1" containsInteger="1" minValue="1" maxValue="120"/>
    </cacheField>
    <cacheField name="Production Date" numFmtId="14">
      <sharedItems containsDate="1" containsMixedTypes="1" minDate="2024-01-14T00:00:00" maxDate="2024-03-11T00:00:00" count="115">
        <s v="1/6/2023"/>
        <s v="1/11/2023"/>
        <s v="1/16/2023"/>
        <s v="1/21/2023"/>
        <s v="1/26/2023"/>
        <s v="1/31/2023"/>
        <s v="2/5/2023"/>
        <s v="2/10/2023"/>
        <s v="2/15/2023"/>
        <s v="2/20/2023"/>
        <s v="2/25/2023"/>
        <s v="3/2/2023"/>
        <s v="3/7/2023"/>
        <s v="3/12/2023"/>
        <s v="3/17/2023"/>
        <s v="3/22/2023"/>
        <s v="3/27/2023"/>
        <s v="4/1/2023"/>
        <s v="4/6/2023"/>
        <s v="4/11/2023"/>
        <s v="4/16/2023"/>
        <s v="4/21/2023"/>
        <s v="4/26/2023"/>
        <s v="5/1/2023"/>
        <s v="5/6/2023"/>
        <s v="5/11/2023"/>
        <s v="5/16/2023"/>
        <s v="5/21/2023"/>
        <s v="5/26/2023"/>
        <s v="5/31/2023"/>
        <s v="6/5/2023"/>
        <s v="6/10/2023"/>
        <s v="6/15/2023"/>
        <s v="6/20/2023"/>
        <s v="6/25/2023"/>
        <s v="6/30/2023"/>
        <s v="7/5/2023"/>
        <s v="7/10/2023"/>
        <s v="7/15/2023"/>
        <s v="7/20/2023"/>
        <s v="7/25/2023"/>
        <s v="7/30/2023"/>
        <s v="8/4/2023"/>
        <s v="8/9/2023"/>
        <s v="8/14/2023"/>
        <s v="8/19/2023"/>
        <s v="8/24/2023"/>
        <s v="8/29/2023"/>
        <s v="9/3/2023"/>
        <s v="9/8/2023"/>
        <s v="9/13/2023"/>
        <s v="9/18/2023"/>
        <s v="9/23/2023"/>
        <s v="9/28/2023"/>
        <s v="10/3/2023"/>
        <s v="10/8/2023"/>
        <s v="10/13/2023"/>
        <s v="10/18/2023"/>
        <s v="10/23/2023"/>
        <s v="10/28/2023"/>
        <s v="11/2/2023"/>
        <s v="11/7/2023"/>
        <s v="11/12/2023"/>
        <s v="11/17/2023"/>
        <s v="11/22/2023"/>
        <s v="11/27/2023"/>
        <s v="12/2/2023"/>
        <s v="12/7/2023"/>
        <s v="12/12/2023"/>
        <s v="12/17/2023"/>
        <s v="12/22/2023"/>
        <s v="12/27/2023"/>
        <s v="1/1/2024"/>
        <s v="1/6/2024"/>
        <s v="1/11/2024"/>
        <s v="1/16/2024"/>
        <s v="1/21/2024"/>
        <s v="1/26/2024"/>
        <s v="1/31/2024"/>
        <s v="2/5/2024"/>
        <s v="2/10/2024"/>
        <s v="2/15/2024"/>
        <s v="2/20/2024"/>
        <s v="2/25/2024"/>
        <s v="3/1/2024"/>
        <s v="3/6/2024"/>
        <s v="3/11/2024"/>
        <s v="3/16/2024"/>
        <s v="3/21/2024"/>
        <s v="3/26/2024"/>
        <s v="3/31/2024"/>
        <s v="4/5/2024"/>
        <s v="4/10/2024"/>
        <s v="5/15/2024"/>
        <s v="8/17/2024"/>
        <s v="1/2/2024"/>
        <s v="6/21/2024"/>
        <s v="12/26/2023"/>
        <s v="10/16/2023"/>
        <s v="12/14/2023"/>
        <s v="11/3/2023"/>
        <s v="2/28/2024"/>
        <s v="4/30/2024"/>
        <s v="12/4/2023"/>
        <s v="11/13/2023"/>
        <s v="4/1/2024"/>
        <s v="7/11/2024"/>
        <s v="8/23/2024"/>
        <s v="3/19/2024"/>
        <s v="11/10/2023"/>
        <s v="3/23/2024"/>
        <s v="12/13/2023"/>
        <s v="11/14/2024"/>
        <d v="2024-01-14T00:00:00"/>
        <d v="2024-03-10T00:00:00"/>
      </sharedItems>
    </cacheField>
    <cacheField name="Region" numFmtId="0">
      <sharedItems count="4">
        <s v="North"/>
        <s v="West"/>
        <s v="East"/>
        <s v="South"/>
      </sharedItems>
    </cacheField>
    <cacheField name="Manager" numFmtId="0">
      <sharedItems count="9">
        <s v="Nancy Grey"/>
        <s v="Emily Davis"/>
        <s v="Mike Brown"/>
        <s v="Jane Smith"/>
        <s v="Andrew Blue"/>
        <s v="Laura Black"/>
        <s v="David White"/>
        <s v="John Doe"/>
        <s v="Sarah Lee"/>
      </sharedItems>
    </cacheField>
    <cacheField name="Product Type" numFmtId="0">
      <sharedItems count="4">
        <s v="Machinery"/>
        <s v="Furniture"/>
        <s v="Electronics"/>
        <s v="Automobiles"/>
      </sharedItems>
    </cacheField>
    <cacheField name="Units Produced" numFmtId="0">
      <sharedItems containsSemiMixedTypes="0" containsString="0" containsNumber="1" containsInteger="1" minValue="51" maxValue="666"/>
    </cacheField>
    <cacheField name="Total Cost" numFmtId="0">
      <sharedItems containsSemiMixedTypes="0" containsString="0" containsNumber="1" containsInteger="1" minValue="679" maxValue="64635"/>
    </cacheField>
    <cacheField name="Gender" numFmtId="0">
      <sharedItems count="3">
        <s v="Female"/>
        <s v="Unknown"/>
        <s v="Male"/>
      </sharedItems>
    </cacheField>
    <cacheField name="True Age " numFmtId="0">
      <sharedItems containsSemiMixedTypes="0" containsString="0" containsNumber="1" containsInteger="1" minValue="36" maxValue="44"/>
    </cacheField>
    <cacheField name="Age Groups" numFmtId="0">
      <sharedItems/>
    </cacheField>
    <cacheField name="Production Cost Per Unit" numFmtId="1">
      <sharedItems containsSemiMixedTypes="0" containsString="0" containsNumber="1" minValue="2.2117263843648209" maxValue="1115.4509803921569"/>
    </cacheField>
  </cacheFields>
  <extLst>
    <ext xmlns:x14="http://schemas.microsoft.com/office/spreadsheetml/2009/9/main" uri="{725AE2AE-9491-48be-B2B4-4EB974FC3084}">
      <x14:pivotCacheDefinition pivotCacheId="7511590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refreshedDate="45854.730591203705" createdVersion="8" refreshedVersion="8" minRefreshableVersion="3" recordCount="118" xr:uid="{66CF043C-D0CC-4338-8F13-E73D60F03DE8}">
  <cacheSource type="worksheet">
    <worksheetSource ref="A1:K119" sheet="Production Dataset"/>
  </cacheSource>
  <cacheFields count="14">
    <cacheField name="Production ID" numFmtId="0">
      <sharedItems containsSemiMixedTypes="0" containsString="0" containsNumber="1" containsInteger="1" minValue="1" maxValue="120"/>
    </cacheField>
    <cacheField name="Production Date" numFmtId="0">
      <sharedItems containsSemiMixedTypes="0" containsNonDate="0" containsDate="1" containsString="0" minDate="2021-04-03T00:00:00" maxDate="2024-11-08T00:00:00" count="116">
        <d v="2023-01-06T00:00:00"/>
        <d v="2023-01-11T00:00:00"/>
        <d v="2023-01-16T00:00:00"/>
        <d v="2023-01-21T00:00:00"/>
        <d v="2023-01-26T00:00:00"/>
        <d v="2023-01-31T00:00:00"/>
        <d v="2023-02-05T00:00:00"/>
        <d v="2023-02-10T00:00:00"/>
        <d v="2023-02-15T00:00:00"/>
        <d v="2023-02-20T00:00:00"/>
        <d v="2023-02-25T00:00:00"/>
        <d v="2023-03-02T00:00:00"/>
        <d v="2023-03-07T00:00:00"/>
        <d v="2023-03-12T00:00:00"/>
        <d v="2023-03-17T00:00:00"/>
        <d v="2023-03-22T00:00:00"/>
        <d v="2023-03-27T00:00:00"/>
        <d v="2023-04-01T00:00:00"/>
        <d v="2023-04-06T00:00:00"/>
        <d v="2023-04-11T00:00:00"/>
        <d v="2023-04-16T00:00:00"/>
        <d v="2023-04-21T00:00:00"/>
        <d v="2023-04-26T00:00:00"/>
        <d v="2023-05-01T00:00:00"/>
        <d v="2023-05-06T00:00:00"/>
        <d v="2023-05-11T00:00:00"/>
        <d v="2023-05-16T00:00:00"/>
        <d v="2023-05-21T00:00:00"/>
        <d v="2023-05-26T00:00:00"/>
        <d v="2023-05-31T00:00:00"/>
        <d v="2023-06-05T00:00:00"/>
        <d v="2023-06-10T00:00:00"/>
        <d v="2023-06-15T00:00:00"/>
        <d v="2023-06-20T00:00:00"/>
        <d v="2023-06-25T00:00:00"/>
        <d v="2023-06-30T00:00:00"/>
        <d v="2023-07-05T00:00:00"/>
        <d v="2023-07-10T00:00:00"/>
        <d v="2023-07-15T00:00:00"/>
        <d v="2023-07-20T00:00:00"/>
        <d v="2023-07-25T00:00:00"/>
        <d v="2023-07-30T00:00:00"/>
        <d v="2023-08-04T00:00:00"/>
        <d v="2023-08-09T00:00:00"/>
        <d v="2023-08-14T00:00:00"/>
        <d v="2023-08-19T00:00:00"/>
        <d v="2023-08-24T00:00:00"/>
        <d v="2023-08-29T00:00:00"/>
        <d v="2023-09-03T00:00:00"/>
        <d v="2023-09-08T00:00:00"/>
        <d v="2023-09-13T00:00:00"/>
        <d v="2023-09-18T00:00:00"/>
        <d v="2023-09-23T00:00:00"/>
        <d v="2023-09-28T00:00:00"/>
        <d v="2023-10-03T00:00:00"/>
        <d v="2023-10-08T00:00:00"/>
        <d v="2023-10-13T00:00:00"/>
        <d v="2023-10-18T00:00:00"/>
        <d v="2023-10-23T00:00:00"/>
        <d v="2023-10-28T00:00:00"/>
        <d v="2023-11-02T00:00:00"/>
        <d v="2023-11-07T00:00:00"/>
        <d v="2023-11-12T00:00:00"/>
        <d v="2023-11-17T00:00:00"/>
        <d v="2023-11-22T00:00:00"/>
        <d v="2023-11-27T00:00:00"/>
        <d v="2023-12-02T00:00:00"/>
        <d v="2023-12-07T00:00:00"/>
        <d v="2023-12-12T00:00:00"/>
        <d v="2023-12-17T00:00:00"/>
        <d v="2023-12-22T00:00:00"/>
        <d v="2023-12-27T00:00:00"/>
        <d v="2024-01-01T00:00:00"/>
        <d v="2024-01-06T00:00:00"/>
        <d v="2024-01-11T00:00:00"/>
        <d v="2024-01-16T00:00:00"/>
        <d v="2024-01-21T00:00:00"/>
        <d v="2024-01-26T00:00:00"/>
        <d v="2024-01-31T00:00:00"/>
        <d v="2024-02-05T00:00:00"/>
        <d v="2024-02-10T00:00:00"/>
        <d v="2024-02-15T00:00:00"/>
        <d v="2024-02-20T00:00:00"/>
        <d v="2024-02-25T00:00:00"/>
        <d v="2024-01-03T00:00:00"/>
        <d v="2024-06-03T00:00:00"/>
        <d v="2024-03-11T00:00:00"/>
        <d v="2024-03-16T00:00:00"/>
        <d v="2024-03-21T00:00:00"/>
        <d v="2024-03-26T00:00:00"/>
        <d v="2024-03-31T00:00:00"/>
        <d v="2024-05-04T00:00:00"/>
        <d v="2024-10-04T00:00:00"/>
        <d v="2024-05-15T00:00:00"/>
        <d v="2024-07-08T00:00:00"/>
        <d v="2024-02-01T00:00:00"/>
        <d v="2024-02-06T00:00:00"/>
        <d v="2023-06-12T00:00:00"/>
        <d v="2023-04-12T00:00:00"/>
        <d v="2023-03-11T00:00:00"/>
        <d v="2024-02-28T00:00:00"/>
        <d v="2024-03-04T00:00:00"/>
        <d v="2024-01-04T00:00:00"/>
        <d v="2024-11-07T00:00:00"/>
        <d v="2024-03-28T00:00:00"/>
        <d v="2024-03-19T00:00:00"/>
        <d v="2023-10-11T00:00:00"/>
        <d v="2024-03-23T00:00:00"/>
        <d v="2024-04-11T00:00:00"/>
        <d v="2024-04-01T00:00:00"/>
        <d v="2024-10-03T00:00:00"/>
        <d v="2021-06-05T00:00:00"/>
        <d v="2021-07-04T00:00:00"/>
        <d v="2021-04-03T00:00:00"/>
        <d v="2022-08-02T00:00:00"/>
        <d v="2022-11-01T00:00:00"/>
      </sharedItems>
      <fieldGroup par="13"/>
    </cacheField>
    <cacheField name="Region" numFmtId="0">
      <sharedItems count="4">
        <s v="North"/>
        <s v="West"/>
        <s v="East"/>
        <s v="South"/>
      </sharedItems>
    </cacheField>
    <cacheField name="Manager" numFmtId="0">
      <sharedItems/>
    </cacheField>
    <cacheField name="Product Type" numFmtId="0">
      <sharedItems count="4">
        <s v="Machinery"/>
        <s v="Furniture"/>
        <s v="Electronics"/>
        <s v="Automobiles"/>
      </sharedItems>
    </cacheField>
    <cacheField name="Units Produced" numFmtId="0">
      <sharedItems containsSemiMixedTypes="0" containsString="0" containsNumber="1" containsInteger="1" minValue="51" maxValue="666"/>
    </cacheField>
    <cacheField name="Total Cost" numFmtId="0">
      <sharedItems containsSemiMixedTypes="0" containsString="0" containsNumber="1" containsInteger="1" minValue="679" maxValue="64635"/>
    </cacheField>
    <cacheField name="Gender" numFmtId="0">
      <sharedItems count="3">
        <s v="Female"/>
        <s v="Unknown"/>
        <s v="Male"/>
      </sharedItems>
    </cacheField>
    <cacheField name="True Age " numFmtId="0">
      <sharedItems containsSemiMixedTypes="0" containsString="0" containsNumber="1" containsInteger="1" minValue="36" maxValue="44"/>
    </cacheField>
    <cacheField name="Age Groups" numFmtId="0">
      <sharedItems count="3">
        <s v="A2"/>
        <s v="A3"/>
        <s v="A1"/>
      </sharedItems>
    </cacheField>
    <cacheField name="Production Cost Per Unit" numFmtId="1">
      <sharedItems containsSemiMixedTypes="0" containsString="0" containsNumber="1" minValue="2.2117263843648209" maxValue="1115.4509803921569" count="118">
        <n v="198.11320754716982"/>
        <n v="196.42857142857142"/>
        <n v="194.91525423728814"/>
        <n v="193.54838709677421"/>
        <n v="192.30769230769232"/>
        <n v="191.1764705882353"/>
        <n v="190.14084507042253"/>
        <n v="189.18918918918919"/>
        <n v="188.3116883116883"/>
        <n v="187.5"/>
        <n v="186.74698795180723"/>
        <n v="186.04651162790697"/>
        <n v="185.3932584269663"/>
        <n v="184.78260869565219"/>
        <n v="184.21052631578948"/>
        <n v="183.67346938775509"/>
        <n v="183.16831683168317"/>
        <n v="182.69230769230768"/>
        <n v="182.24299065420561"/>
        <n v="181.81818181818181"/>
        <n v="181.41592920353983"/>
        <n v="181.0344827586207"/>
        <n v="180.67226890756302"/>
        <n v="180.32786885245901"/>
        <n v="180"/>
        <n v="179.6875"/>
        <n v="179.38931297709922"/>
        <n v="179.1044776119403"/>
        <n v="178.83211678832117"/>
        <n v="178.57142857142858"/>
        <n v="178.32167832167832"/>
        <n v="178.08219178082192"/>
        <n v="177.85234899328859"/>
        <n v="177.63157894736841"/>
        <n v="177.41935483870967"/>
        <n v="177.21518987341773"/>
        <n v="177.01863354037266"/>
        <n v="176.82926829268294"/>
        <n v="176.64670658682635"/>
        <n v="176.47058823529412"/>
        <n v="176.30057803468208"/>
        <n v="176.13636363636363"/>
        <n v="175.97765363128491"/>
        <n v="175.82417582417582"/>
        <n v="175.67567567567568"/>
        <n v="175.53191489361703"/>
        <n v="175.39267015706807"/>
        <n v="175.25773195876289"/>
        <n v="175.12690355329948"/>
        <n v="175"/>
        <n v="174.8768472906404"/>
        <n v="174.75728155339806"/>
        <n v="174.64114832535884"/>
        <n v="174.52830188679246"/>
        <n v="174.41860465116278"/>
        <n v="174.3119266055046"/>
        <n v="174.20814479638008"/>
        <n v="174.10714285714286"/>
        <n v="174.00881057268722"/>
        <n v="173.91304347826087"/>
        <n v="173.8197424892704"/>
        <n v="173.72881355932202"/>
        <n v="173.64016736401675"/>
        <n v="173.55371900826447"/>
        <n v="173.46938775510205"/>
        <n v="173.38709677419354"/>
        <n v="173.30677290836653"/>
        <n v="173.22834645669292"/>
        <n v="173.15175097276264"/>
        <n v="173.07692307692307"/>
        <n v="173.00380228136882"/>
        <n v="172.93233082706766"/>
        <n v="172.8624535315985"/>
        <n v="172.79411764705881"/>
        <n v="172.72727272727272"/>
        <n v="172.66187050359713"/>
        <n v="172.59786476868328"/>
        <n v="172.53521126760563"/>
        <n v="172.4738675958188"/>
        <n v="172.41379310344828"/>
        <n v="172.35494880546077"/>
        <n v="172.29729729729729"/>
        <n v="172.24080267558529"/>
        <n v="172.18543046357615"/>
        <n v="172.13114754098362"/>
        <n v="172.07792207792207"/>
        <n v="172.0257234726688"/>
        <n v="171.97452229299364"/>
        <n v="171.92429022082018"/>
        <n v="171.875"/>
        <n v="171.82662538699691"/>
        <n v="171.77914110429447"/>
        <n v="171.73252279635258"/>
        <n v="141.90173410404626"/>
        <n v="2.2189542483660132"/>
        <n v="274.125"/>
        <n v="68.625"/>
        <n v="78.828828828828833"/>
        <n v="2.2117263843648209"/>
        <n v="105.87239583333333"/>
        <n v="7"/>
        <n v="35.523676880222844"/>
        <n v="53.031446540880502"/>
        <n v="1115.4509803921569"/>
        <n v="2.8771186440677967"/>
        <n v="145.42990654205607"/>
        <n v="300.61627906976742"/>
        <n v="71.561290322580646"/>
        <n v="13.231974921630094"/>
        <n v="508.06451612903226"/>
        <n v="321"/>
        <n v="78.432532347504619"/>
        <n v="97.049549549549553"/>
        <n v="97.092979127134726"/>
        <n v="101.8961937716263"/>
        <n v="282"/>
        <n v="93.6579476861167"/>
        <n v="97.156424581005581"/>
      </sharedItems>
    </cacheField>
    <cacheField name="Months (Production Date)" numFmtId="0" databaseField="0">
      <fieldGroup base="1">
        <rangePr groupBy="months" startDate="2021-04-03T00:00:00" endDate="2024-11-08T00:00:00"/>
        <groupItems count="14">
          <s v="&lt;4/3/2021"/>
          <s v="Jan"/>
          <s v="Feb"/>
          <s v="Mar"/>
          <s v="Apr"/>
          <s v="May"/>
          <s v="Jun"/>
          <s v="Jul"/>
          <s v="Aug"/>
          <s v="Sep"/>
          <s v="Oct"/>
          <s v="Nov"/>
          <s v="Dec"/>
          <s v="&gt;11/8/2024"/>
        </groupItems>
      </fieldGroup>
    </cacheField>
    <cacheField name="Quarters (Production Date)" numFmtId="0" databaseField="0">
      <fieldGroup base="1">
        <rangePr groupBy="quarters" startDate="2021-04-03T00:00:00" endDate="2024-11-08T00:00:00"/>
        <groupItems count="6">
          <s v="&lt;4/3/2021"/>
          <s v="Qtr1"/>
          <s v="Qtr2"/>
          <s v="Qtr3"/>
          <s v="Qtr4"/>
          <s v="&gt;11/8/2024"/>
        </groupItems>
      </fieldGroup>
    </cacheField>
    <cacheField name="Years (Production Date)" numFmtId="0" databaseField="0">
      <fieldGroup base="1">
        <rangePr groupBy="years" startDate="2021-04-03T00:00:00" endDate="2024-11-08T00:00:00"/>
        <groupItems count="6">
          <s v="&lt;4/3/2021"/>
          <s v="2021"/>
          <s v="2022"/>
          <s v="2023"/>
          <s v="2024"/>
          <s v="&gt;11/8/2024"/>
        </groupItems>
      </fieldGroup>
    </cacheField>
  </cacheFields>
  <extLst>
    <ext xmlns:x14="http://schemas.microsoft.com/office/spreadsheetml/2009/9/main" uri="{725AE2AE-9491-48be-B2B4-4EB974FC3084}">
      <x14:pivotCacheDefinition pivotCacheId="1711065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53"/>
    <n v="10500"/>
    <x v="0"/>
    <n v="39"/>
    <s v="A2"/>
    <n v="198.11320754716982"/>
  </r>
  <r>
    <n v="2"/>
    <x v="1"/>
    <x v="1"/>
    <x v="1"/>
    <x v="1"/>
    <n v="56"/>
    <n v="11000"/>
    <x v="1"/>
    <n v="40"/>
    <s v="A2"/>
    <n v="196.42857142857142"/>
  </r>
  <r>
    <n v="3"/>
    <x v="2"/>
    <x v="2"/>
    <x v="2"/>
    <x v="2"/>
    <n v="59"/>
    <n v="11500"/>
    <x v="2"/>
    <n v="41"/>
    <s v="A2"/>
    <n v="194.91525423728814"/>
  </r>
  <r>
    <n v="4"/>
    <x v="3"/>
    <x v="3"/>
    <x v="3"/>
    <x v="3"/>
    <n v="62"/>
    <n v="12000"/>
    <x v="0"/>
    <n v="42"/>
    <s v="A3"/>
    <n v="193.54838709677421"/>
  </r>
  <r>
    <n v="5"/>
    <x v="4"/>
    <x v="0"/>
    <x v="4"/>
    <x v="0"/>
    <n v="65"/>
    <n v="12500"/>
    <x v="1"/>
    <n v="43"/>
    <s v="A3"/>
    <n v="192.30769230769232"/>
  </r>
  <r>
    <n v="6"/>
    <x v="5"/>
    <x v="1"/>
    <x v="5"/>
    <x v="1"/>
    <n v="68"/>
    <n v="13000"/>
    <x v="2"/>
    <n v="44"/>
    <s v="A3"/>
    <n v="191.1764705882353"/>
  </r>
  <r>
    <n v="7"/>
    <x v="6"/>
    <x v="2"/>
    <x v="6"/>
    <x v="2"/>
    <n v="71"/>
    <n v="13500"/>
    <x v="0"/>
    <n v="37"/>
    <s v="A1"/>
    <n v="190.14084507042253"/>
  </r>
  <r>
    <n v="8"/>
    <x v="7"/>
    <x v="3"/>
    <x v="7"/>
    <x v="3"/>
    <n v="74"/>
    <n v="14000"/>
    <x v="1"/>
    <n v="38"/>
    <s v="A1"/>
    <n v="189.18918918918919"/>
  </r>
  <r>
    <n v="9"/>
    <x v="8"/>
    <x v="0"/>
    <x v="0"/>
    <x v="0"/>
    <n v="77"/>
    <n v="14500"/>
    <x v="2"/>
    <n v="39"/>
    <s v="A2"/>
    <n v="188.3116883116883"/>
  </r>
  <r>
    <n v="10"/>
    <x v="9"/>
    <x v="1"/>
    <x v="1"/>
    <x v="1"/>
    <n v="80"/>
    <n v="15000"/>
    <x v="0"/>
    <n v="40"/>
    <s v="A2"/>
    <n v="187.5"/>
  </r>
  <r>
    <n v="11"/>
    <x v="10"/>
    <x v="2"/>
    <x v="2"/>
    <x v="2"/>
    <n v="83"/>
    <n v="15500"/>
    <x v="1"/>
    <n v="41"/>
    <s v="A2"/>
    <n v="186.74698795180723"/>
  </r>
  <r>
    <n v="12"/>
    <x v="11"/>
    <x v="3"/>
    <x v="3"/>
    <x v="3"/>
    <n v="86"/>
    <n v="16000"/>
    <x v="2"/>
    <n v="42"/>
    <s v="A3"/>
    <n v="186.04651162790697"/>
  </r>
  <r>
    <n v="13"/>
    <x v="12"/>
    <x v="0"/>
    <x v="4"/>
    <x v="0"/>
    <n v="89"/>
    <n v="16500"/>
    <x v="0"/>
    <n v="43"/>
    <s v="A3"/>
    <n v="185.3932584269663"/>
  </r>
  <r>
    <n v="14"/>
    <x v="13"/>
    <x v="1"/>
    <x v="5"/>
    <x v="1"/>
    <n v="92"/>
    <n v="17000"/>
    <x v="1"/>
    <n v="44"/>
    <s v="A3"/>
    <n v="184.78260869565219"/>
  </r>
  <r>
    <n v="15"/>
    <x v="14"/>
    <x v="2"/>
    <x v="6"/>
    <x v="2"/>
    <n v="95"/>
    <n v="17500"/>
    <x v="2"/>
    <n v="37"/>
    <s v="A1"/>
    <n v="184.21052631578948"/>
  </r>
  <r>
    <n v="16"/>
    <x v="15"/>
    <x v="3"/>
    <x v="7"/>
    <x v="3"/>
    <n v="98"/>
    <n v="18000"/>
    <x v="0"/>
    <n v="38"/>
    <s v="A1"/>
    <n v="183.67346938775509"/>
  </r>
  <r>
    <n v="17"/>
    <x v="16"/>
    <x v="0"/>
    <x v="0"/>
    <x v="0"/>
    <n v="101"/>
    <n v="18500"/>
    <x v="1"/>
    <n v="39"/>
    <s v="A2"/>
    <n v="183.16831683168317"/>
  </r>
  <r>
    <n v="18"/>
    <x v="17"/>
    <x v="1"/>
    <x v="1"/>
    <x v="1"/>
    <n v="104"/>
    <n v="19000"/>
    <x v="2"/>
    <n v="40"/>
    <s v="A2"/>
    <n v="182.69230769230768"/>
  </r>
  <r>
    <n v="19"/>
    <x v="18"/>
    <x v="2"/>
    <x v="2"/>
    <x v="2"/>
    <n v="107"/>
    <n v="19500"/>
    <x v="0"/>
    <n v="41"/>
    <s v="A2"/>
    <n v="182.24299065420561"/>
  </r>
  <r>
    <n v="20"/>
    <x v="19"/>
    <x v="3"/>
    <x v="3"/>
    <x v="3"/>
    <n v="110"/>
    <n v="20000"/>
    <x v="1"/>
    <n v="42"/>
    <s v="A3"/>
    <n v="181.81818181818181"/>
  </r>
  <r>
    <n v="21"/>
    <x v="20"/>
    <x v="0"/>
    <x v="4"/>
    <x v="0"/>
    <n v="113"/>
    <n v="20500"/>
    <x v="2"/>
    <n v="43"/>
    <s v="A3"/>
    <n v="181.41592920353983"/>
  </r>
  <r>
    <n v="22"/>
    <x v="21"/>
    <x v="1"/>
    <x v="5"/>
    <x v="1"/>
    <n v="116"/>
    <n v="21000"/>
    <x v="0"/>
    <n v="44"/>
    <s v="A3"/>
    <n v="181.0344827586207"/>
  </r>
  <r>
    <n v="23"/>
    <x v="22"/>
    <x v="2"/>
    <x v="6"/>
    <x v="2"/>
    <n v="119"/>
    <n v="21500"/>
    <x v="1"/>
    <n v="37"/>
    <s v="A1"/>
    <n v="180.67226890756302"/>
  </r>
  <r>
    <n v="24"/>
    <x v="23"/>
    <x v="3"/>
    <x v="7"/>
    <x v="3"/>
    <n v="122"/>
    <n v="22000"/>
    <x v="2"/>
    <n v="38"/>
    <s v="A1"/>
    <n v="180.32786885245901"/>
  </r>
  <r>
    <n v="25"/>
    <x v="24"/>
    <x v="0"/>
    <x v="0"/>
    <x v="0"/>
    <n v="125"/>
    <n v="22500"/>
    <x v="0"/>
    <n v="39"/>
    <s v="A2"/>
    <n v="180"/>
  </r>
  <r>
    <n v="26"/>
    <x v="25"/>
    <x v="1"/>
    <x v="1"/>
    <x v="1"/>
    <n v="128"/>
    <n v="23000"/>
    <x v="1"/>
    <n v="40"/>
    <s v="A2"/>
    <n v="179.6875"/>
  </r>
  <r>
    <n v="27"/>
    <x v="26"/>
    <x v="2"/>
    <x v="2"/>
    <x v="2"/>
    <n v="131"/>
    <n v="23500"/>
    <x v="2"/>
    <n v="41"/>
    <s v="A2"/>
    <n v="179.38931297709922"/>
  </r>
  <r>
    <n v="28"/>
    <x v="27"/>
    <x v="3"/>
    <x v="3"/>
    <x v="3"/>
    <n v="134"/>
    <n v="24000"/>
    <x v="0"/>
    <n v="42"/>
    <s v="A3"/>
    <n v="179.1044776119403"/>
  </r>
  <r>
    <n v="29"/>
    <x v="28"/>
    <x v="0"/>
    <x v="4"/>
    <x v="0"/>
    <n v="137"/>
    <n v="24500"/>
    <x v="1"/>
    <n v="43"/>
    <s v="A3"/>
    <n v="178.83211678832117"/>
  </r>
  <r>
    <n v="30"/>
    <x v="29"/>
    <x v="1"/>
    <x v="5"/>
    <x v="1"/>
    <n v="140"/>
    <n v="25000"/>
    <x v="2"/>
    <n v="44"/>
    <s v="A3"/>
    <n v="178.57142857142858"/>
  </r>
  <r>
    <n v="31"/>
    <x v="30"/>
    <x v="2"/>
    <x v="6"/>
    <x v="2"/>
    <n v="143"/>
    <n v="25500"/>
    <x v="0"/>
    <n v="37"/>
    <s v="A1"/>
    <n v="178.32167832167832"/>
  </r>
  <r>
    <n v="32"/>
    <x v="31"/>
    <x v="3"/>
    <x v="7"/>
    <x v="3"/>
    <n v="146"/>
    <n v="26000"/>
    <x v="1"/>
    <n v="38"/>
    <s v="A1"/>
    <n v="178.08219178082192"/>
  </r>
  <r>
    <n v="33"/>
    <x v="32"/>
    <x v="0"/>
    <x v="0"/>
    <x v="0"/>
    <n v="149"/>
    <n v="26500"/>
    <x v="2"/>
    <n v="39"/>
    <s v="A2"/>
    <n v="177.85234899328859"/>
  </r>
  <r>
    <n v="34"/>
    <x v="33"/>
    <x v="1"/>
    <x v="1"/>
    <x v="1"/>
    <n v="152"/>
    <n v="27000"/>
    <x v="0"/>
    <n v="40"/>
    <s v="A2"/>
    <n v="177.63157894736841"/>
  </r>
  <r>
    <n v="35"/>
    <x v="34"/>
    <x v="2"/>
    <x v="2"/>
    <x v="2"/>
    <n v="155"/>
    <n v="27500"/>
    <x v="1"/>
    <n v="41"/>
    <s v="A2"/>
    <n v="177.41935483870967"/>
  </r>
  <r>
    <n v="36"/>
    <x v="35"/>
    <x v="3"/>
    <x v="3"/>
    <x v="3"/>
    <n v="158"/>
    <n v="28000"/>
    <x v="2"/>
    <n v="42"/>
    <s v="A3"/>
    <n v="177.21518987341773"/>
  </r>
  <r>
    <n v="37"/>
    <x v="36"/>
    <x v="0"/>
    <x v="4"/>
    <x v="0"/>
    <n v="161"/>
    <n v="28500"/>
    <x v="0"/>
    <n v="43"/>
    <s v="A3"/>
    <n v="177.01863354037266"/>
  </r>
  <r>
    <n v="38"/>
    <x v="37"/>
    <x v="1"/>
    <x v="5"/>
    <x v="1"/>
    <n v="164"/>
    <n v="29000"/>
    <x v="1"/>
    <n v="44"/>
    <s v="A3"/>
    <n v="176.82926829268294"/>
  </r>
  <r>
    <n v="39"/>
    <x v="38"/>
    <x v="2"/>
    <x v="6"/>
    <x v="2"/>
    <n v="167"/>
    <n v="29500"/>
    <x v="2"/>
    <n v="37"/>
    <s v="A1"/>
    <n v="176.64670658682635"/>
  </r>
  <r>
    <n v="40"/>
    <x v="39"/>
    <x v="3"/>
    <x v="7"/>
    <x v="3"/>
    <n v="170"/>
    <n v="30000"/>
    <x v="0"/>
    <n v="38"/>
    <s v="A1"/>
    <n v="176.47058823529412"/>
  </r>
  <r>
    <n v="41"/>
    <x v="40"/>
    <x v="0"/>
    <x v="0"/>
    <x v="0"/>
    <n v="173"/>
    <n v="30500"/>
    <x v="1"/>
    <n v="39"/>
    <s v="A2"/>
    <n v="176.30057803468208"/>
  </r>
  <r>
    <n v="42"/>
    <x v="41"/>
    <x v="1"/>
    <x v="1"/>
    <x v="1"/>
    <n v="176"/>
    <n v="31000"/>
    <x v="2"/>
    <n v="40"/>
    <s v="A2"/>
    <n v="176.13636363636363"/>
  </r>
  <r>
    <n v="43"/>
    <x v="42"/>
    <x v="2"/>
    <x v="2"/>
    <x v="2"/>
    <n v="179"/>
    <n v="31500"/>
    <x v="0"/>
    <n v="41"/>
    <s v="A2"/>
    <n v="175.97765363128491"/>
  </r>
  <r>
    <n v="44"/>
    <x v="43"/>
    <x v="3"/>
    <x v="3"/>
    <x v="3"/>
    <n v="182"/>
    <n v="32000"/>
    <x v="1"/>
    <n v="42"/>
    <s v="A3"/>
    <n v="175.82417582417582"/>
  </r>
  <r>
    <n v="45"/>
    <x v="44"/>
    <x v="0"/>
    <x v="4"/>
    <x v="0"/>
    <n v="185"/>
    <n v="32500"/>
    <x v="2"/>
    <n v="43"/>
    <s v="A3"/>
    <n v="175.67567567567568"/>
  </r>
  <r>
    <n v="46"/>
    <x v="45"/>
    <x v="1"/>
    <x v="5"/>
    <x v="1"/>
    <n v="188"/>
    <n v="33000"/>
    <x v="0"/>
    <n v="44"/>
    <s v="A3"/>
    <n v="175.53191489361703"/>
  </r>
  <r>
    <n v="47"/>
    <x v="46"/>
    <x v="2"/>
    <x v="6"/>
    <x v="2"/>
    <n v="191"/>
    <n v="33500"/>
    <x v="1"/>
    <n v="37"/>
    <s v="A1"/>
    <n v="175.39267015706807"/>
  </r>
  <r>
    <n v="48"/>
    <x v="47"/>
    <x v="3"/>
    <x v="7"/>
    <x v="3"/>
    <n v="194"/>
    <n v="34000"/>
    <x v="2"/>
    <n v="38"/>
    <s v="A1"/>
    <n v="175.25773195876289"/>
  </r>
  <r>
    <n v="49"/>
    <x v="48"/>
    <x v="0"/>
    <x v="0"/>
    <x v="0"/>
    <n v="197"/>
    <n v="34500"/>
    <x v="0"/>
    <n v="39"/>
    <s v="A2"/>
    <n v="175.12690355329948"/>
  </r>
  <r>
    <n v="50"/>
    <x v="49"/>
    <x v="1"/>
    <x v="1"/>
    <x v="1"/>
    <n v="200"/>
    <n v="35000"/>
    <x v="1"/>
    <n v="40"/>
    <s v="A2"/>
    <n v="175"/>
  </r>
  <r>
    <n v="51"/>
    <x v="50"/>
    <x v="2"/>
    <x v="2"/>
    <x v="2"/>
    <n v="203"/>
    <n v="35500"/>
    <x v="2"/>
    <n v="41"/>
    <s v="A2"/>
    <n v="174.8768472906404"/>
  </r>
  <r>
    <n v="52"/>
    <x v="51"/>
    <x v="3"/>
    <x v="3"/>
    <x v="3"/>
    <n v="206"/>
    <n v="36000"/>
    <x v="0"/>
    <n v="42"/>
    <s v="A3"/>
    <n v="174.75728155339806"/>
  </r>
  <r>
    <n v="53"/>
    <x v="52"/>
    <x v="0"/>
    <x v="4"/>
    <x v="0"/>
    <n v="209"/>
    <n v="36500"/>
    <x v="1"/>
    <n v="43"/>
    <s v="A3"/>
    <n v="174.64114832535884"/>
  </r>
  <r>
    <n v="54"/>
    <x v="53"/>
    <x v="1"/>
    <x v="5"/>
    <x v="1"/>
    <n v="212"/>
    <n v="37000"/>
    <x v="2"/>
    <n v="44"/>
    <s v="A3"/>
    <n v="174.52830188679246"/>
  </r>
  <r>
    <n v="55"/>
    <x v="54"/>
    <x v="2"/>
    <x v="6"/>
    <x v="2"/>
    <n v="215"/>
    <n v="37500"/>
    <x v="0"/>
    <n v="37"/>
    <s v="A1"/>
    <n v="174.41860465116278"/>
  </r>
  <r>
    <n v="56"/>
    <x v="55"/>
    <x v="3"/>
    <x v="7"/>
    <x v="3"/>
    <n v="218"/>
    <n v="38000"/>
    <x v="1"/>
    <n v="38"/>
    <s v="A1"/>
    <n v="174.3119266055046"/>
  </r>
  <r>
    <n v="57"/>
    <x v="56"/>
    <x v="0"/>
    <x v="0"/>
    <x v="0"/>
    <n v="221"/>
    <n v="38500"/>
    <x v="2"/>
    <n v="39"/>
    <s v="A2"/>
    <n v="174.20814479638008"/>
  </r>
  <r>
    <n v="58"/>
    <x v="57"/>
    <x v="1"/>
    <x v="1"/>
    <x v="1"/>
    <n v="224"/>
    <n v="39000"/>
    <x v="0"/>
    <n v="40"/>
    <s v="A2"/>
    <n v="174.10714285714286"/>
  </r>
  <r>
    <n v="59"/>
    <x v="58"/>
    <x v="2"/>
    <x v="2"/>
    <x v="2"/>
    <n v="227"/>
    <n v="39500"/>
    <x v="1"/>
    <n v="41"/>
    <s v="A2"/>
    <n v="174.00881057268722"/>
  </r>
  <r>
    <n v="60"/>
    <x v="59"/>
    <x v="3"/>
    <x v="3"/>
    <x v="3"/>
    <n v="230"/>
    <n v="40000"/>
    <x v="2"/>
    <n v="42"/>
    <s v="A3"/>
    <n v="173.91304347826087"/>
  </r>
  <r>
    <n v="61"/>
    <x v="60"/>
    <x v="0"/>
    <x v="4"/>
    <x v="0"/>
    <n v="233"/>
    <n v="40500"/>
    <x v="0"/>
    <n v="43"/>
    <s v="A3"/>
    <n v="173.8197424892704"/>
  </r>
  <r>
    <n v="62"/>
    <x v="61"/>
    <x v="1"/>
    <x v="5"/>
    <x v="1"/>
    <n v="236"/>
    <n v="41000"/>
    <x v="1"/>
    <n v="44"/>
    <s v="A3"/>
    <n v="173.72881355932202"/>
  </r>
  <r>
    <n v="63"/>
    <x v="62"/>
    <x v="2"/>
    <x v="6"/>
    <x v="2"/>
    <n v="239"/>
    <n v="41500"/>
    <x v="2"/>
    <n v="37"/>
    <s v="A1"/>
    <n v="173.64016736401675"/>
  </r>
  <r>
    <n v="64"/>
    <x v="63"/>
    <x v="3"/>
    <x v="7"/>
    <x v="3"/>
    <n v="242"/>
    <n v="42000"/>
    <x v="0"/>
    <n v="38"/>
    <s v="A1"/>
    <n v="173.55371900826447"/>
  </r>
  <r>
    <n v="65"/>
    <x v="64"/>
    <x v="0"/>
    <x v="0"/>
    <x v="0"/>
    <n v="245"/>
    <n v="42500"/>
    <x v="1"/>
    <n v="39"/>
    <s v="A2"/>
    <n v="173.46938775510205"/>
  </r>
  <r>
    <n v="66"/>
    <x v="65"/>
    <x v="1"/>
    <x v="1"/>
    <x v="1"/>
    <n v="248"/>
    <n v="43000"/>
    <x v="2"/>
    <n v="40"/>
    <s v="A2"/>
    <n v="173.38709677419354"/>
  </r>
  <r>
    <n v="67"/>
    <x v="66"/>
    <x v="2"/>
    <x v="2"/>
    <x v="2"/>
    <n v="251"/>
    <n v="43500"/>
    <x v="0"/>
    <n v="41"/>
    <s v="A2"/>
    <n v="173.30677290836653"/>
  </r>
  <r>
    <n v="68"/>
    <x v="67"/>
    <x v="3"/>
    <x v="3"/>
    <x v="3"/>
    <n v="254"/>
    <n v="44000"/>
    <x v="1"/>
    <n v="42"/>
    <s v="A3"/>
    <n v="173.22834645669292"/>
  </r>
  <r>
    <n v="69"/>
    <x v="68"/>
    <x v="0"/>
    <x v="4"/>
    <x v="0"/>
    <n v="257"/>
    <n v="44500"/>
    <x v="2"/>
    <n v="43"/>
    <s v="A3"/>
    <n v="173.15175097276264"/>
  </r>
  <r>
    <n v="70"/>
    <x v="69"/>
    <x v="1"/>
    <x v="5"/>
    <x v="1"/>
    <n v="260"/>
    <n v="45000"/>
    <x v="0"/>
    <n v="44"/>
    <s v="A3"/>
    <n v="173.07692307692307"/>
  </r>
  <r>
    <n v="71"/>
    <x v="70"/>
    <x v="2"/>
    <x v="6"/>
    <x v="2"/>
    <n v="263"/>
    <n v="45500"/>
    <x v="1"/>
    <n v="37"/>
    <s v="A1"/>
    <n v="173.00380228136882"/>
  </r>
  <r>
    <n v="72"/>
    <x v="71"/>
    <x v="3"/>
    <x v="7"/>
    <x v="3"/>
    <n v="266"/>
    <n v="46000"/>
    <x v="2"/>
    <n v="38"/>
    <s v="A1"/>
    <n v="172.93233082706766"/>
  </r>
  <r>
    <n v="73"/>
    <x v="72"/>
    <x v="0"/>
    <x v="0"/>
    <x v="0"/>
    <n v="269"/>
    <n v="46500"/>
    <x v="0"/>
    <n v="39"/>
    <s v="A2"/>
    <n v="172.8624535315985"/>
  </r>
  <r>
    <n v="74"/>
    <x v="73"/>
    <x v="1"/>
    <x v="1"/>
    <x v="1"/>
    <n v="272"/>
    <n v="47000"/>
    <x v="1"/>
    <n v="40"/>
    <s v="A2"/>
    <n v="172.79411764705881"/>
  </r>
  <r>
    <n v="75"/>
    <x v="74"/>
    <x v="2"/>
    <x v="2"/>
    <x v="2"/>
    <n v="275"/>
    <n v="47500"/>
    <x v="2"/>
    <n v="41"/>
    <s v="A2"/>
    <n v="172.72727272727272"/>
  </r>
  <r>
    <n v="76"/>
    <x v="75"/>
    <x v="3"/>
    <x v="3"/>
    <x v="3"/>
    <n v="278"/>
    <n v="48000"/>
    <x v="0"/>
    <n v="42"/>
    <s v="A3"/>
    <n v="172.66187050359713"/>
  </r>
  <r>
    <n v="77"/>
    <x v="76"/>
    <x v="0"/>
    <x v="4"/>
    <x v="0"/>
    <n v="281"/>
    <n v="48500"/>
    <x v="1"/>
    <n v="43"/>
    <s v="A3"/>
    <n v="172.59786476868328"/>
  </r>
  <r>
    <n v="78"/>
    <x v="77"/>
    <x v="1"/>
    <x v="5"/>
    <x v="1"/>
    <n v="284"/>
    <n v="49000"/>
    <x v="2"/>
    <n v="44"/>
    <s v="A3"/>
    <n v="172.53521126760563"/>
  </r>
  <r>
    <n v="79"/>
    <x v="78"/>
    <x v="2"/>
    <x v="6"/>
    <x v="2"/>
    <n v="287"/>
    <n v="49500"/>
    <x v="0"/>
    <n v="37"/>
    <s v="A1"/>
    <n v="172.4738675958188"/>
  </r>
  <r>
    <n v="80"/>
    <x v="79"/>
    <x v="3"/>
    <x v="7"/>
    <x v="3"/>
    <n v="290"/>
    <n v="50000"/>
    <x v="1"/>
    <n v="38"/>
    <s v="A1"/>
    <n v="172.41379310344828"/>
  </r>
  <r>
    <n v="81"/>
    <x v="80"/>
    <x v="0"/>
    <x v="0"/>
    <x v="0"/>
    <n v="293"/>
    <n v="50500"/>
    <x v="2"/>
    <n v="39"/>
    <s v="A2"/>
    <n v="172.35494880546077"/>
  </r>
  <r>
    <n v="82"/>
    <x v="81"/>
    <x v="1"/>
    <x v="1"/>
    <x v="1"/>
    <n v="296"/>
    <n v="51000"/>
    <x v="0"/>
    <n v="40"/>
    <s v="A2"/>
    <n v="172.29729729729729"/>
  </r>
  <r>
    <n v="83"/>
    <x v="82"/>
    <x v="2"/>
    <x v="2"/>
    <x v="2"/>
    <n v="299"/>
    <n v="51500"/>
    <x v="1"/>
    <n v="41"/>
    <s v="A2"/>
    <n v="172.24080267558529"/>
  </r>
  <r>
    <n v="84"/>
    <x v="83"/>
    <x v="3"/>
    <x v="3"/>
    <x v="3"/>
    <n v="302"/>
    <n v="52000"/>
    <x v="2"/>
    <n v="42"/>
    <s v="A3"/>
    <n v="172.18543046357615"/>
  </r>
  <r>
    <n v="85"/>
    <x v="84"/>
    <x v="0"/>
    <x v="4"/>
    <x v="0"/>
    <n v="305"/>
    <n v="52500"/>
    <x v="0"/>
    <n v="43"/>
    <s v="A3"/>
    <n v="172.13114754098362"/>
  </r>
  <r>
    <n v="86"/>
    <x v="85"/>
    <x v="1"/>
    <x v="5"/>
    <x v="1"/>
    <n v="308"/>
    <n v="53000"/>
    <x v="1"/>
    <n v="44"/>
    <s v="A3"/>
    <n v="172.07792207792207"/>
  </r>
  <r>
    <n v="87"/>
    <x v="86"/>
    <x v="2"/>
    <x v="6"/>
    <x v="2"/>
    <n v="311"/>
    <n v="53500"/>
    <x v="2"/>
    <n v="37"/>
    <s v="A1"/>
    <n v="172.0257234726688"/>
  </r>
  <r>
    <n v="88"/>
    <x v="87"/>
    <x v="3"/>
    <x v="7"/>
    <x v="3"/>
    <n v="314"/>
    <n v="54000"/>
    <x v="0"/>
    <n v="38"/>
    <s v="A1"/>
    <n v="171.97452229299364"/>
  </r>
  <r>
    <n v="89"/>
    <x v="88"/>
    <x v="0"/>
    <x v="0"/>
    <x v="0"/>
    <n v="317"/>
    <n v="54500"/>
    <x v="1"/>
    <n v="39"/>
    <s v="A2"/>
    <n v="171.92429022082018"/>
  </r>
  <r>
    <n v="90"/>
    <x v="89"/>
    <x v="1"/>
    <x v="1"/>
    <x v="1"/>
    <n v="320"/>
    <n v="55000"/>
    <x v="2"/>
    <n v="40"/>
    <s v="A2"/>
    <n v="171.875"/>
  </r>
  <r>
    <n v="91"/>
    <x v="90"/>
    <x v="2"/>
    <x v="2"/>
    <x v="2"/>
    <n v="323"/>
    <n v="55500"/>
    <x v="0"/>
    <n v="41"/>
    <s v="A2"/>
    <n v="171.82662538699691"/>
  </r>
  <r>
    <n v="92"/>
    <x v="91"/>
    <x v="3"/>
    <x v="3"/>
    <x v="3"/>
    <n v="326"/>
    <n v="56000"/>
    <x v="1"/>
    <n v="42"/>
    <s v="A3"/>
    <n v="171.77914110429447"/>
  </r>
  <r>
    <n v="93"/>
    <x v="92"/>
    <x v="0"/>
    <x v="4"/>
    <x v="0"/>
    <n v="329"/>
    <n v="56500"/>
    <x v="2"/>
    <n v="43"/>
    <s v="A3"/>
    <n v="171.73252279635258"/>
  </r>
  <r>
    <n v="94"/>
    <x v="93"/>
    <x v="0"/>
    <x v="1"/>
    <x v="3"/>
    <n v="173"/>
    <n v="24549"/>
    <x v="2"/>
    <n v="40"/>
    <s v="A2"/>
    <n v="141.90173410404626"/>
  </r>
  <r>
    <n v="95"/>
    <x v="94"/>
    <x v="0"/>
    <x v="0"/>
    <x v="1"/>
    <n v="306"/>
    <n v="679"/>
    <x v="2"/>
    <n v="39"/>
    <s v="A2"/>
    <n v="2.2189542483660132"/>
  </r>
  <r>
    <n v="96"/>
    <x v="83"/>
    <x v="0"/>
    <x v="4"/>
    <x v="3"/>
    <n v="128"/>
    <n v="35088"/>
    <x v="2"/>
    <n v="43"/>
    <s v="A3"/>
    <n v="274.125"/>
  </r>
  <r>
    <n v="97"/>
    <x v="95"/>
    <x v="1"/>
    <x v="7"/>
    <x v="2"/>
    <n v="368"/>
    <n v="25254"/>
    <x v="0"/>
    <n v="38"/>
    <s v="A1"/>
    <n v="68.625"/>
  </r>
  <r>
    <n v="98"/>
    <x v="70"/>
    <x v="1"/>
    <x v="2"/>
    <x v="0"/>
    <n v="222"/>
    <n v="17500"/>
    <x v="2"/>
    <n v="41"/>
    <s v="A2"/>
    <n v="78.828828828828833"/>
  </r>
  <r>
    <n v="99"/>
    <x v="96"/>
    <x v="1"/>
    <x v="0"/>
    <x v="2"/>
    <n v="216"/>
    <n v="36934"/>
    <x v="0"/>
    <n v="39"/>
    <s v="A2"/>
    <n v="170.99074074074073"/>
  </r>
  <r>
    <n v="100"/>
    <x v="97"/>
    <x v="1"/>
    <x v="5"/>
    <x v="2"/>
    <n v="307"/>
    <n v="679"/>
    <x v="0"/>
    <n v="44"/>
    <s v="A3"/>
    <n v="2.2117263843648209"/>
  </r>
  <r>
    <n v="101"/>
    <x v="98"/>
    <x v="3"/>
    <x v="7"/>
    <x v="1"/>
    <n v="384"/>
    <n v="40655"/>
    <x v="0"/>
    <n v="38"/>
    <s v="A1"/>
    <n v="105.87239583333333"/>
  </r>
  <r>
    <n v="102"/>
    <x v="99"/>
    <x v="2"/>
    <x v="2"/>
    <x v="3"/>
    <n v="97"/>
    <n v="679"/>
    <x v="0"/>
    <n v="41"/>
    <s v="A2"/>
    <n v="7"/>
  </r>
  <r>
    <n v="103"/>
    <x v="100"/>
    <x v="1"/>
    <x v="0"/>
    <x v="0"/>
    <n v="359"/>
    <n v="12753"/>
    <x v="2"/>
    <n v="39"/>
    <s v="A2"/>
    <n v="35.523676880222844"/>
  </r>
  <r>
    <n v="104"/>
    <x v="101"/>
    <x v="0"/>
    <x v="0"/>
    <x v="0"/>
    <n v="318"/>
    <n v="16864"/>
    <x v="2"/>
    <n v="39"/>
    <s v="A2"/>
    <n v="53.031446540880502"/>
  </r>
  <r>
    <n v="105"/>
    <x v="87"/>
    <x v="1"/>
    <x v="0"/>
    <x v="3"/>
    <n v="51"/>
    <n v="56888"/>
    <x v="0"/>
    <n v="39"/>
    <s v="A2"/>
    <n v="1115.4509803921569"/>
  </r>
  <r>
    <n v="106"/>
    <x v="102"/>
    <x v="2"/>
    <x v="4"/>
    <x v="0"/>
    <n v="236"/>
    <n v="679"/>
    <x v="1"/>
    <n v="43"/>
    <s v="A3"/>
    <n v="2.8771186440677967"/>
  </r>
  <r>
    <n v="107"/>
    <x v="103"/>
    <x v="1"/>
    <x v="0"/>
    <x v="3"/>
    <n v="214"/>
    <n v="31122"/>
    <x v="2"/>
    <n v="39"/>
    <s v="A2"/>
    <n v="145.42990654205607"/>
  </r>
  <r>
    <n v="108"/>
    <x v="104"/>
    <x v="1"/>
    <x v="6"/>
    <x v="3"/>
    <n v="86"/>
    <n v="25853"/>
    <x v="0"/>
    <n v="37"/>
    <s v="A1"/>
    <n v="300.61627906976742"/>
  </r>
  <r>
    <n v="109"/>
    <x v="105"/>
    <x v="1"/>
    <x v="5"/>
    <x v="0"/>
    <n v="155"/>
    <n v="11092"/>
    <x v="0"/>
    <n v="44"/>
    <s v="A3"/>
    <n v="71.561290322580646"/>
  </r>
  <r>
    <n v="110"/>
    <x v="106"/>
    <x v="1"/>
    <x v="3"/>
    <x v="2"/>
    <n v="319"/>
    <n v="4221"/>
    <x v="2"/>
    <n v="42"/>
    <s v="A3"/>
    <n v="13.231974921630094"/>
  </r>
  <r>
    <n v="111"/>
    <x v="107"/>
    <x v="2"/>
    <x v="1"/>
    <x v="3"/>
    <n v="62"/>
    <n v="31500"/>
    <x v="2"/>
    <n v="40"/>
    <s v="A2"/>
    <n v="508.06451612903226"/>
  </r>
  <r>
    <n v="112"/>
    <x v="108"/>
    <x v="2"/>
    <x v="3"/>
    <x v="3"/>
    <n v="81"/>
    <n v="31414"/>
    <x v="0"/>
    <n v="42"/>
    <s v="A3"/>
    <n v="387.82716049382714"/>
  </r>
  <r>
    <n v="113"/>
    <x v="104"/>
    <x v="0"/>
    <x v="2"/>
    <x v="3"/>
    <n v="126"/>
    <n v="40446"/>
    <x v="1"/>
    <n v="41"/>
    <s v="A2"/>
    <n v="321"/>
  </r>
  <r>
    <n v="114"/>
    <x v="60"/>
    <x v="1"/>
    <x v="3"/>
    <x v="3"/>
    <n v="541"/>
    <n v="42432"/>
    <x v="0"/>
    <n v="42"/>
    <s v="A3"/>
    <n v="78.432532347504619"/>
  </r>
  <r>
    <n v="115"/>
    <x v="109"/>
    <x v="0"/>
    <x v="4"/>
    <x v="1"/>
    <n v="666"/>
    <n v="64635"/>
    <x v="2"/>
    <n v="43"/>
    <s v="A3"/>
    <n v="97.049549549549553"/>
  </r>
  <r>
    <n v="116"/>
    <x v="110"/>
    <x v="0"/>
    <x v="3"/>
    <x v="2"/>
    <n v="527"/>
    <n v="51168"/>
    <x v="2"/>
    <n v="42"/>
    <s v="A3"/>
    <n v="97.092979127134726"/>
  </r>
  <r>
    <n v="117"/>
    <x v="111"/>
    <x v="1"/>
    <x v="0"/>
    <x v="3"/>
    <n v="289"/>
    <n v="29448"/>
    <x v="2"/>
    <n v="39"/>
    <s v="A2"/>
    <n v="101.8961937716263"/>
  </r>
  <r>
    <n v="118"/>
    <x v="112"/>
    <x v="2"/>
    <x v="2"/>
    <x v="2"/>
    <n v="199"/>
    <n v="56118"/>
    <x v="1"/>
    <n v="41"/>
    <s v="A2"/>
    <n v="282"/>
  </r>
  <r>
    <n v="119"/>
    <x v="113"/>
    <x v="2"/>
    <x v="8"/>
    <x v="3"/>
    <n v="497"/>
    <n v="46548"/>
    <x v="0"/>
    <n v="36"/>
    <s v="A1"/>
    <n v="93.6579476861167"/>
  </r>
  <r>
    <n v="120"/>
    <x v="114"/>
    <x v="2"/>
    <x v="0"/>
    <x v="3"/>
    <n v="358"/>
    <n v="34782"/>
    <x v="0"/>
    <n v="39"/>
    <s v="A2"/>
    <n v="97.15642458100558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n v="1"/>
    <x v="0"/>
    <x v="0"/>
    <s v="Nancy Grey"/>
    <x v="0"/>
    <n v="53"/>
    <n v="10500"/>
    <x v="0"/>
    <n v="39"/>
    <x v="0"/>
    <x v="0"/>
  </r>
  <r>
    <n v="2"/>
    <x v="1"/>
    <x v="1"/>
    <s v="Emily Davis"/>
    <x v="1"/>
    <n v="56"/>
    <n v="11000"/>
    <x v="1"/>
    <n v="40"/>
    <x v="0"/>
    <x v="1"/>
  </r>
  <r>
    <n v="3"/>
    <x v="2"/>
    <x v="2"/>
    <s v="Mike Brown"/>
    <x v="2"/>
    <n v="59"/>
    <n v="11500"/>
    <x v="2"/>
    <n v="41"/>
    <x v="0"/>
    <x v="2"/>
  </r>
  <r>
    <n v="4"/>
    <x v="3"/>
    <x v="3"/>
    <s v="Jane Smith"/>
    <x v="3"/>
    <n v="62"/>
    <n v="12000"/>
    <x v="0"/>
    <n v="42"/>
    <x v="1"/>
    <x v="3"/>
  </r>
  <r>
    <n v="5"/>
    <x v="4"/>
    <x v="0"/>
    <s v="Andrew Blue"/>
    <x v="0"/>
    <n v="65"/>
    <n v="12500"/>
    <x v="1"/>
    <n v="43"/>
    <x v="1"/>
    <x v="4"/>
  </r>
  <r>
    <n v="6"/>
    <x v="5"/>
    <x v="1"/>
    <s v="Laura Black"/>
    <x v="1"/>
    <n v="68"/>
    <n v="13000"/>
    <x v="2"/>
    <n v="44"/>
    <x v="1"/>
    <x v="5"/>
  </r>
  <r>
    <n v="7"/>
    <x v="6"/>
    <x v="2"/>
    <s v="David White"/>
    <x v="2"/>
    <n v="71"/>
    <n v="13500"/>
    <x v="0"/>
    <n v="37"/>
    <x v="2"/>
    <x v="6"/>
  </r>
  <r>
    <n v="8"/>
    <x v="7"/>
    <x v="3"/>
    <s v="John Doe"/>
    <x v="3"/>
    <n v="74"/>
    <n v="14000"/>
    <x v="1"/>
    <n v="38"/>
    <x v="2"/>
    <x v="7"/>
  </r>
  <r>
    <n v="9"/>
    <x v="8"/>
    <x v="0"/>
    <s v="Nancy Grey"/>
    <x v="0"/>
    <n v="77"/>
    <n v="14500"/>
    <x v="2"/>
    <n v="39"/>
    <x v="0"/>
    <x v="8"/>
  </r>
  <r>
    <n v="10"/>
    <x v="9"/>
    <x v="1"/>
    <s v="Emily Davis"/>
    <x v="1"/>
    <n v="80"/>
    <n v="15000"/>
    <x v="0"/>
    <n v="40"/>
    <x v="0"/>
    <x v="9"/>
  </r>
  <r>
    <n v="11"/>
    <x v="10"/>
    <x v="2"/>
    <s v="Mike Brown"/>
    <x v="2"/>
    <n v="83"/>
    <n v="15500"/>
    <x v="1"/>
    <n v="41"/>
    <x v="0"/>
    <x v="10"/>
  </r>
  <r>
    <n v="12"/>
    <x v="11"/>
    <x v="3"/>
    <s v="Jane Smith"/>
    <x v="3"/>
    <n v="86"/>
    <n v="16000"/>
    <x v="2"/>
    <n v="42"/>
    <x v="1"/>
    <x v="11"/>
  </r>
  <r>
    <n v="13"/>
    <x v="12"/>
    <x v="0"/>
    <s v="Andrew Blue"/>
    <x v="0"/>
    <n v="89"/>
    <n v="16500"/>
    <x v="0"/>
    <n v="43"/>
    <x v="1"/>
    <x v="12"/>
  </r>
  <r>
    <n v="14"/>
    <x v="13"/>
    <x v="1"/>
    <s v="Laura Black"/>
    <x v="1"/>
    <n v="92"/>
    <n v="17000"/>
    <x v="1"/>
    <n v="44"/>
    <x v="1"/>
    <x v="13"/>
  </r>
  <r>
    <n v="15"/>
    <x v="14"/>
    <x v="2"/>
    <s v="David White"/>
    <x v="2"/>
    <n v="95"/>
    <n v="17500"/>
    <x v="2"/>
    <n v="37"/>
    <x v="2"/>
    <x v="14"/>
  </r>
  <r>
    <n v="16"/>
    <x v="15"/>
    <x v="3"/>
    <s v="John Doe"/>
    <x v="3"/>
    <n v="98"/>
    <n v="18000"/>
    <x v="0"/>
    <n v="38"/>
    <x v="2"/>
    <x v="15"/>
  </r>
  <r>
    <n v="17"/>
    <x v="16"/>
    <x v="0"/>
    <s v="Nancy Grey"/>
    <x v="0"/>
    <n v="101"/>
    <n v="18500"/>
    <x v="1"/>
    <n v="39"/>
    <x v="0"/>
    <x v="16"/>
  </r>
  <r>
    <n v="18"/>
    <x v="17"/>
    <x v="1"/>
    <s v="Emily Davis"/>
    <x v="1"/>
    <n v="104"/>
    <n v="19000"/>
    <x v="2"/>
    <n v="40"/>
    <x v="0"/>
    <x v="17"/>
  </r>
  <r>
    <n v="19"/>
    <x v="18"/>
    <x v="2"/>
    <s v="Mike Brown"/>
    <x v="2"/>
    <n v="107"/>
    <n v="19500"/>
    <x v="0"/>
    <n v="41"/>
    <x v="0"/>
    <x v="18"/>
  </r>
  <r>
    <n v="20"/>
    <x v="19"/>
    <x v="3"/>
    <s v="Jane Smith"/>
    <x v="3"/>
    <n v="110"/>
    <n v="20000"/>
    <x v="1"/>
    <n v="42"/>
    <x v="1"/>
    <x v="19"/>
  </r>
  <r>
    <n v="21"/>
    <x v="20"/>
    <x v="0"/>
    <s v="Andrew Blue"/>
    <x v="0"/>
    <n v="113"/>
    <n v="20500"/>
    <x v="2"/>
    <n v="43"/>
    <x v="1"/>
    <x v="20"/>
  </r>
  <r>
    <n v="22"/>
    <x v="21"/>
    <x v="1"/>
    <s v="Laura Black"/>
    <x v="1"/>
    <n v="116"/>
    <n v="21000"/>
    <x v="0"/>
    <n v="44"/>
    <x v="1"/>
    <x v="21"/>
  </r>
  <r>
    <n v="23"/>
    <x v="22"/>
    <x v="2"/>
    <s v="David White"/>
    <x v="2"/>
    <n v="119"/>
    <n v="21500"/>
    <x v="1"/>
    <n v="37"/>
    <x v="2"/>
    <x v="22"/>
  </r>
  <r>
    <n v="24"/>
    <x v="23"/>
    <x v="3"/>
    <s v="John Doe"/>
    <x v="3"/>
    <n v="122"/>
    <n v="22000"/>
    <x v="2"/>
    <n v="38"/>
    <x v="2"/>
    <x v="23"/>
  </r>
  <r>
    <n v="25"/>
    <x v="24"/>
    <x v="0"/>
    <s v="Nancy Grey"/>
    <x v="0"/>
    <n v="125"/>
    <n v="22500"/>
    <x v="0"/>
    <n v="39"/>
    <x v="0"/>
    <x v="24"/>
  </r>
  <r>
    <n v="26"/>
    <x v="25"/>
    <x v="1"/>
    <s v="Emily Davis"/>
    <x v="1"/>
    <n v="128"/>
    <n v="23000"/>
    <x v="1"/>
    <n v="40"/>
    <x v="0"/>
    <x v="25"/>
  </r>
  <r>
    <n v="27"/>
    <x v="26"/>
    <x v="2"/>
    <s v="Mike Brown"/>
    <x v="2"/>
    <n v="131"/>
    <n v="23500"/>
    <x v="2"/>
    <n v="41"/>
    <x v="0"/>
    <x v="26"/>
  </r>
  <r>
    <n v="28"/>
    <x v="27"/>
    <x v="3"/>
    <s v="Jane Smith"/>
    <x v="3"/>
    <n v="134"/>
    <n v="24000"/>
    <x v="0"/>
    <n v="42"/>
    <x v="1"/>
    <x v="27"/>
  </r>
  <r>
    <n v="29"/>
    <x v="28"/>
    <x v="0"/>
    <s v="Andrew Blue"/>
    <x v="0"/>
    <n v="137"/>
    <n v="24500"/>
    <x v="1"/>
    <n v="43"/>
    <x v="1"/>
    <x v="28"/>
  </r>
  <r>
    <n v="30"/>
    <x v="29"/>
    <x v="1"/>
    <s v="Laura Black"/>
    <x v="1"/>
    <n v="140"/>
    <n v="25000"/>
    <x v="2"/>
    <n v="44"/>
    <x v="1"/>
    <x v="29"/>
  </r>
  <r>
    <n v="31"/>
    <x v="30"/>
    <x v="2"/>
    <s v="David White"/>
    <x v="2"/>
    <n v="143"/>
    <n v="25500"/>
    <x v="0"/>
    <n v="37"/>
    <x v="2"/>
    <x v="30"/>
  </r>
  <r>
    <n v="32"/>
    <x v="31"/>
    <x v="3"/>
    <s v="John Doe"/>
    <x v="3"/>
    <n v="146"/>
    <n v="26000"/>
    <x v="1"/>
    <n v="38"/>
    <x v="2"/>
    <x v="31"/>
  </r>
  <r>
    <n v="33"/>
    <x v="32"/>
    <x v="0"/>
    <s v="Nancy Grey"/>
    <x v="0"/>
    <n v="149"/>
    <n v="26500"/>
    <x v="2"/>
    <n v="39"/>
    <x v="0"/>
    <x v="32"/>
  </r>
  <r>
    <n v="34"/>
    <x v="33"/>
    <x v="1"/>
    <s v="Emily Davis"/>
    <x v="1"/>
    <n v="152"/>
    <n v="27000"/>
    <x v="0"/>
    <n v="40"/>
    <x v="0"/>
    <x v="33"/>
  </r>
  <r>
    <n v="35"/>
    <x v="34"/>
    <x v="2"/>
    <s v="Mike Brown"/>
    <x v="2"/>
    <n v="155"/>
    <n v="27500"/>
    <x v="1"/>
    <n v="41"/>
    <x v="0"/>
    <x v="34"/>
  </r>
  <r>
    <n v="36"/>
    <x v="35"/>
    <x v="3"/>
    <s v="Jane Smith"/>
    <x v="3"/>
    <n v="158"/>
    <n v="28000"/>
    <x v="2"/>
    <n v="42"/>
    <x v="1"/>
    <x v="35"/>
  </r>
  <r>
    <n v="37"/>
    <x v="36"/>
    <x v="0"/>
    <s v="Andrew Blue"/>
    <x v="0"/>
    <n v="161"/>
    <n v="28500"/>
    <x v="0"/>
    <n v="43"/>
    <x v="1"/>
    <x v="36"/>
  </r>
  <r>
    <n v="38"/>
    <x v="37"/>
    <x v="1"/>
    <s v="Laura Black"/>
    <x v="1"/>
    <n v="164"/>
    <n v="29000"/>
    <x v="1"/>
    <n v="44"/>
    <x v="1"/>
    <x v="37"/>
  </r>
  <r>
    <n v="39"/>
    <x v="38"/>
    <x v="2"/>
    <s v="David White"/>
    <x v="2"/>
    <n v="167"/>
    <n v="29500"/>
    <x v="2"/>
    <n v="37"/>
    <x v="2"/>
    <x v="38"/>
  </r>
  <r>
    <n v="40"/>
    <x v="39"/>
    <x v="3"/>
    <s v="John Doe"/>
    <x v="3"/>
    <n v="170"/>
    <n v="30000"/>
    <x v="0"/>
    <n v="38"/>
    <x v="2"/>
    <x v="39"/>
  </r>
  <r>
    <n v="41"/>
    <x v="40"/>
    <x v="0"/>
    <s v="Nancy Grey"/>
    <x v="0"/>
    <n v="173"/>
    <n v="30500"/>
    <x v="1"/>
    <n v="39"/>
    <x v="0"/>
    <x v="40"/>
  </r>
  <r>
    <n v="42"/>
    <x v="41"/>
    <x v="1"/>
    <s v="Emily Davis"/>
    <x v="1"/>
    <n v="176"/>
    <n v="31000"/>
    <x v="2"/>
    <n v="40"/>
    <x v="0"/>
    <x v="41"/>
  </r>
  <r>
    <n v="43"/>
    <x v="42"/>
    <x v="2"/>
    <s v="Mike Brown"/>
    <x v="2"/>
    <n v="179"/>
    <n v="31500"/>
    <x v="0"/>
    <n v="41"/>
    <x v="0"/>
    <x v="42"/>
  </r>
  <r>
    <n v="44"/>
    <x v="43"/>
    <x v="3"/>
    <s v="Jane Smith"/>
    <x v="3"/>
    <n v="182"/>
    <n v="32000"/>
    <x v="1"/>
    <n v="42"/>
    <x v="1"/>
    <x v="43"/>
  </r>
  <r>
    <n v="45"/>
    <x v="44"/>
    <x v="0"/>
    <s v="Andrew Blue"/>
    <x v="0"/>
    <n v="185"/>
    <n v="32500"/>
    <x v="2"/>
    <n v="43"/>
    <x v="1"/>
    <x v="44"/>
  </r>
  <r>
    <n v="46"/>
    <x v="45"/>
    <x v="1"/>
    <s v="Laura Black"/>
    <x v="1"/>
    <n v="188"/>
    <n v="33000"/>
    <x v="0"/>
    <n v="44"/>
    <x v="1"/>
    <x v="45"/>
  </r>
  <r>
    <n v="47"/>
    <x v="46"/>
    <x v="2"/>
    <s v="David White"/>
    <x v="2"/>
    <n v="191"/>
    <n v="33500"/>
    <x v="1"/>
    <n v="37"/>
    <x v="2"/>
    <x v="46"/>
  </r>
  <r>
    <n v="48"/>
    <x v="47"/>
    <x v="3"/>
    <s v="John Doe"/>
    <x v="3"/>
    <n v="194"/>
    <n v="34000"/>
    <x v="2"/>
    <n v="38"/>
    <x v="2"/>
    <x v="47"/>
  </r>
  <r>
    <n v="49"/>
    <x v="48"/>
    <x v="0"/>
    <s v="Nancy Grey"/>
    <x v="0"/>
    <n v="197"/>
    <n v="34500"/>
    <x v="0"/>
    <n v="39"/>
    <x v="0"/>
    <x v="48"/>
  </r>
  <r>
    <n v="50"/>
    <x v="49"/>
    <x v="1"/>
    <s v="Emily Davis"/>
    <x v="1"/>
    <n v="200"/>
    <n v="35000"/>
    <x v="1"/>
    <n v="40"/>
    <x v="0"/>
    <x v="49"/>
  </r>
  <r>
    <n v="51"/>
    <x v="50"/>
    <x v="2"/>
    <s v="Mike Brown"/>
    <x v="2"/>
    <n v="203"/>
    <n v="35500"/>
    <x v="2"/>
    <n v="41"/>
    <x v="0"/>
    <x v="50"/>
  </r>
  <r>
    <n v="52"/>
    <x v="51"/>
    <x v="3"/>
    <s v="Jane Smith"/>
    <x v="3"/>
    <n v="206"/>
    <n v="36000"/>
    <x v="0"/>
    <n v="42"/>
    <x v="1"/>
    <x v="51"/>
  </r>
  <r>
    <n v="53"/>
    <x v="52"/>
    <x v="0"/>
    <s v="Andrew Blue"/>
    <x v="0"/>
    <n v="209"/>
    <n v="36500"/>
    <x v="1"/>
    <n v="43"/>
    <x v="1"/>
    <x v="52"/>
  </r>
  <r>
    <n v="54"/>
    <x v="53"/>
    <x v="1"/>
    <s v="Laura Black"/>
    <x v="1"/>
    <n v="212"/>
    <n v="37000"/>
    <x v="2"/>
    <n v="44"/>
    <x v="1"/>
    <x v="53"/>
  </r>
  <r>
    <n v="55"/>
    <x v="54"/>
    <x v="2"/>
    <s v="David White"/>
    <x v="2"/>
    <n v="215"/>
    <n v="37500"/>
    <x v="0"/>
    <n v="37"/>
    <x v="2"/>
    <x v="54"/>
  </r>
  <r>
    <n v="56"/>
    <x v="55"/>
    <x v="3"/>
    <s v="John Doe"/>
    <x v="3"/>
    <n v="218"/>
    <n v="38000"/>
    <x v="1"/>
    <n v="38"/>
    <x v="2"/>
    <x v="55"/>
  </r>
  <r>
    <n v="57"/>
    <x v="56"/>
    <x v="0"/>
    <s v="Nancy Grey"/>
    <x v="0"/>
    <n v="221"/>
    <n v="38500"/>
    <x v="2"/>
    <n v="39"/>
    <x v="0"/>
    <x v="56"/>
  </r>
  <r>
    <n v="58"/>
    <x v="57"/>
    <x v="1"/>
    <s v="Emily Davis"/>
    <x v="1"/>
    <n v="224"/>
    <n v="39000"/>
    <x v="0"/>
    <n v="40"/>
    <x v="0"/>
    <x v="57"/>
  </r>
  <r>
    <n v="59"/>
    <x v="58"/>
    <x v="2"/>
    <s v="Mike Brown"/>
    <x v="2"/>
    <n v="227"/>
    <n v="39500"/>
    <x v="1"/>
    <n v="41"/>
    <x v="0"/>
    <x v="58"/>
  </r>
  <r>
    <n v="60"/>
    <x v="59"/>
    <x v="3"/>
    <s v="Jane Smith"/>
    <x v="3"/>
    <n v="230"/>
    <n v="40000"/>
    <x v="2"/>
    <n v="42"/>
    <x v="1"/>
    <x v="59"/>
  </r>
  <r>
    <n v="61"/>
    <x v="60"/>
    <x v="0"/>
    <s v="Andrew Blue"/>
    <x v="0"/>
    <n v="233"/>
    <n v="40500"/>
    <x v="0"/>
    <n v="43"/>
    <x v="1"/>
    <x v="60"/>
  </r>
  <r>
    <n v="62"/>
    <x v="61"/>
    <x v="1"/>
    <s v="Laura Black"/>
    <x v="1"/>
    <n v="236"/>
    <n v="41000"/>
    <x v="1"/>
    <n v="44"/>
    <x v="1"/>
    <x v="61"/>
  </r>
  <r>
    <n v="63"/>
    <x v="62"/>
    <x v="2"/>
    <s v="David White"/>
    <x v="2"/>
    <n v="239"/>
    <n v="41500"/>
    <x v="2"/>
    <n v="37"/>
    <x v="2"/>
    <x v="62"/>
  </r>
  <r>
    <n v="64"/>
    <x v="63"/>
    <x v="3"/>
    <s v="John Doe"/>
    <x v="3"/>
    <n v="242"/>
    <n v="42000"/>
    <x v="0"/>
    <n v="38"/>
    <x v="2"/>
    <x v="63"/>
  </r>
  <r>
    <n v="65"/>
    <x v="64"/>
    <x v="0"/>
    <s v="Nancy Grey"/>
    <x v="0"/>
    <n v="245"/>
    <n v="42500"/>
    <x v="1"/>
    <n v="39"/>
    <x v="0"/>
    <x v="64"/>
  </r>
  <r>
    <n v="66"/>
    <x v="65"/>
    <x v="1"/>
    <s v="Emily Davis"/>
    <x v="1"/>
    <n v="248"/>
    <n v="43000"/>
    <x v="2"/>
    <n v="40"/>
    <x v="0"/>
    <x v="65"/>
  </r>
  <r>
    <n v="67"/>
    <x v="66"/>
    <x v="2"/>
    <s v="Mike Brown"/>
    <x v="2"/>
    <n v="251"/>
    <n v="43500"/>
    <x v="0"/>
    <n v="41"/>
    <x v="0"/>
    <x v="66"/>
  </r>
  <r>
    <n v="68"/>
    <x v="67"/>
    <x v="3"/>
    <s v="Jane Smith"/>
    <x v="3"/>
    <n v="254"/>
    <n v="44000"/>
    <x v="1"/>
    <n v="42"/>
    <x v="1"/>
    <x v="67"/>
  </r>
  <r>
    <n v="69"/>
    <x v="68"/>
    <x v="0"/>
    <s v="Andrew Blue"/>
    <x v="0"/>
    <n v="257"/>
    <n v="44500"/>
    <x v="2"/>
    <n v="43"/>
    <x v="1"/>
    <x v="68"/>
  </r>
  <r>
    <n v="70"/>
    <x v="69"/>
    <x v="1"/>
    <s v="Laura Black"/>
    <x v="1"/>
    <n v="260"/>
    <n v="45000"/>
    <x v="0"/>
    <n v="44"/>
    <x v="1"/>
    <x v="69"/>
  </r>
  <r>
    <n v="71"/>
    <x v="70"/>
    <x v="2"/>
    <s v="David White"/>
    <x v="2"/>
    <n v="263"/>
    <n v="45500"/>
    <x v="1"/>
    <n v="37"/>
    <x v="2"/>
    <x v="70"/>
  </r>
  <r>
    <n v="72"/>
    <x v="71"/>
    <x v="3"/>
    <s v="John Doe"/>
    <x v="3"/>
    <n v="266"/>
    <n v="46000"/>
    <x v="2"/>
    <n v="38"/>
    <x v="2"/>
    <x v="71"/>
  </r>
  <r>
    <n v="73"/>
    <x v="72"/>
    <x v="0"/>
    <s v="Nancy Grey"/>
    <x v="0"/>
    <n v="269"/>
    <n v="46500"/>
    <x v="0"/>
    <n v="39"/>
    <x v="0"/>
    <x v="72"/>
  </r>
  <r>
    <n v="74"/>
    <x v="73"/>
    <x v="1"/>
    <s v="Emily Davis"/>
    <x v="1"/>
    <n v="272"/>
    <n v="47000"/>
    <x v="1"/>
    <n v="40"/>
    <x v="0"/>
    <x v="73"/>
  </r>
  <r>
    <n v="75"/>
    <x v="74"/>
    <x v="2"/>
    <s v="Mike Brown"/>
    <x v="2"/>
    <n v="275"/>
    <n v="47500"/>
    <x v="2"/>
    <n v="41"/>
    <x v="0"/>
    <x v="74"/>
  </r>
  <r>
    <n v="76"/>
    <x v="75"/>
    <x v="3"/>
    <s v="Jane Smith"/>
    <x v="3"/>
    <n v="278"/>
    <n v="48000"/>
    <x v="0"/>
    <n v="42"/>
    <x v="1"/>
    <x v="75"/>
  </r>
  <r>
    <n v="77"/>
    <x v="76"/>
    <x v="0"/>
    <s v="Andrew Blue"/>
    <x v="0"/>
    <n v="281"/>
    <n v="48500"/>
    <x v="1"/>
    <n v="43"/>
    <x v="1"/>
    <x v="76"/>
  </r>
  <r>
    <n v="78"/>
    <x v="77"/>
    <x v="1"/>
    <s v="Laura Black"/>
    <x v="1"/>
    <n v="284"/>
    <n v="49000"/>
    <x v="2"/>
    <n v="44"/>
    <x v="1"/>
    <x v="77"/>
  </r>
  <r>
    <n v="79"/>
    <x v="78"/>
    <x v="2"/>
    <s v="David White"/>
    <x v="2"/>
    <n v="287"/>
    <n v="49500"/>
    <x v="0"/>
    <n v="37"/>
    <x v="2"/>
    <x v="78"/>
  </r>
  <r>
    <n v="80"/>
    <x v="79"/>
    <x v="3"/>
    <s v="John Doe"/>
    <x v="3"/>
    <n v="290"/>
    <n v="50000"/>
    <x v="1"/>
    <n v="38"/>
    <x v="2"/>
    <x v="79"/>
  </r>
  <r>
    <n v="81"/>
    <x v="80"/>
    <x v="0"/>
    <s v="Nancy Grey"/>
    <x v="0"/>
    <n v="293"/>
    <n v="50500"/>
    <x v="2"/>
    <n v="39"/>
    <x v="0"/>
    <x v="80"/>
  </r>
  <r>
    <n v="82"/>
    <x v="81"/>
    <x v="1"/>
    <s v="Emily Davis"/>
    <x v="1"/>
    <n v="296"/>
    <n v="51000"/>
    <x v="0"/>
    <n v="40"/>
    <x v="0"/>
    <x v="81"/>
  </r>
  <r>
    <n v="83"/>
    <x v="82"/>
    <x v="2"/>
    <s v="Mike Brown"/>
    <x v="2"/>
    <n v="299"/>
    <n v="51500"/>
    <x v="1"/>
    <n v="41"/>
    <x v="0"/>
    <x v="82"/>
  </r>
  <r>
    <n v="84"/>
    <x v="83"/>
    <x v="3"/>
    <s v="Jane Smith"/>
    <x v="3"/>
    <n v="302"/>
    <n v="52000"/>
    <x v="2"/>
    <n v="42"/>
    <x v="1"/>
    <x v="83"/>
  </r>
  <r>
    <n v="85"/>
    <x v="84"/>
    <x v="0"/>
    <s v="Andrew Blue"/>
    <x v="0"/>
    <n v="305"/>
    <n v="52500"/>
    <x v="0"/>
    <n v="43"/>
    <x v="1"/>
    <x v="84"/>
  </r>
  <r>
    <n v="86"/>
    <x v="85"/>
    <x v="1"/>
    <s v="Laura Black"/>
    <x v="1"/>
    <n v="308"/>
    <n v="53000"/>
    <x v="1"/>
    <n v="44"/>
    <x v="1"/>
    <x v="85"/>
  </r>
  <r>
    <n v="87"/>
    <x v="86"/>
    <x v="2"/>
    <s v="David White"/>
    <x v="2"/>
    <n v="311"/>
    <n v="53500"/>
    <x v="2"/>
    <n v="37"/>
    <x v="2"/>
    <x v="86"/>
  </r>
  <r>
    <n v="88"/>
    <x v="87"/>
    <x v="3"/>
    <s v="John Doe"/>
    <x v="3"/>
    <n v="314"/>
    <n v="54000"/>
    <x v="0"/>
    <n v="38"/>
    <x v="2"/>
    <x v="87"/>
  </r>
  <r>
    <n v="89"/>
    <x v="88"/>
    <x v="0"/>
    <s v="Nancy Grey"/>
    <x v="0"/>
    <n v="317"/>
    <n v="54500"/>
    <x v="1"/>
    <n v="39"/>
    <x v="0"/>
    <x v="88"/>
  </r>
  <r>
    <n v="90"/>
    <x v="89"/>
    <x v="1"/>
    <s v="Emily Davis"/>
    <x v="1"/>
    <n v="320"/>
    <n v="55000"/>
    <x v="2"/>
    <n v="40"/>
    <x v="0"/>
    <x v="89"/>
  </r>
  <r>
    <n v="91"/>
    <x v="90"/>
    <x v="2"/>
    <s v="Mike Brown"/>
    <x v="2"/>
    <n v="323"/>
    <n v="55500"/>
    <x v="0"/>
    <n v="41"/>
    <x v="0"/>
    <x v="90"/>
  </r>
  <r>
    <n v="92"/>
    <x v="91"/>
    <x v="3"/>
    <s v="Jane Smith"/>
    <x v="3"/>
    <n v="326"/>
    <n v="56000"/>
    <x v="1"/>
    <n v="42"/>
    <x v="1"/>
    <x v="91"/>
  </r>
  <r>
    <n v="93"/>
    <x v="92"/>
    <x v="0"/>
    <s v="Andrew Blue"/>
    <x v="0"/>
    <n v="329"/>
    <n v="56500"/>
    <x v="2"/>
    <n v="43"/>
    <x v="1"/>
    <x v="92"/>
  </r>
  <r>
    <n v="94"/>
    <x v="93"/>
    <x v="0"/>
    <s v="Emily Davis"/>
    <x v="3"/>
    <n v="173"/>
    <n v="24549"/>
    <x v="2"/>
    <n v="40"/>
    <x v="0"/>
    <x v="93"/>
  </r>
  <r>
    <n v="95"/>
    <x v="94"/>
    <x v="0"/>
    <s v="Nancy Grey"/>
    <x v="1"/>
    <n v="306"/>
    <n v="679"/>
    <x v="2"/>
    <n v="39"/>
    <x v="0"/>
    <x v="94"/>
  </r>
  <r>
    <n v="96"/>
    <x v="95"/>
    <x v="0"/>
    <s v="Andrew Blue"/>
    <x v="3"/>
    <n v="128"/>
    <n v="35088"/>
    <x v="2"/>
    <n v="43"/>
    <x v="1"/>
    <x v="95"/>
  </r>
  <r>
    <n v="97"/>
    <x v="96"/>
    <x v="1"/>
    <s v="John Doe"/>
    <x v="2"/>
    <n v="368"/>
    <n v="25254"/>
    <x v="0"/>
    <n v="38"/>
    <x v="2"/>
    <x v="96"/>
  </r>
  <r>
    <n v="98"/>
    <x v="97"/>
    <x v="1"/>
    <s v="Mike Brown"/>
    <x v="0"/>
    <n v="222"/>
    <n v="17500"/>
    <x v="2"/>
    <n v="41"/>
    <x v="0"/>
    <x v="97"/>
  </r>
  <r>
    <n v="100"/>
    <x v="98"/>
    <x v="1"/>
    <s v="Laura Black"/>
    <x v="2"/>
    <n v="307"/>
    <n v="679"/>
    <x v="0"/>
    <n v="44"/>
    <x v="1"/>
    <x v="98"/>
  </r>
  <r>
    <n v="101"/>
    <x v="99"/>
    <x v="3"/>
    <s v="John Doe"/>
    <x v="1"/>
    <n v="384"/>
    <n v="40655"/>
    <x v="0"/>
    <n v="38"/>
    <x v="2"/>
    <x v="99"/>
  </r>
  <r>
    <n v="102"/>
    <x v="100"/>
    <x v="2"/>
    <s v="Mike Brown"/>
    <x v="3"/>
    <n v="97"/>
    <n v="679"/>
    <x v="0"/>
    <n v="41"/>
    <x v="0"/>
    <x v="100"/>
  </r>
  <r>
    <n v="103"/>
    <x v="101"/>
    <x v="1"/>
    <s v="Nancy Grey"/>
    <x v="0"/>
    <n v="359"/>
    <n v="12753"/>
    <x v="2"/>
    <n v="39"/>
    <x v="0"/>
    <x v="101"/>
  </r>
  <r>
    <n v="104"/>
    <x v="98"/>
    <x v="0"/>
    <s v="Nancy Grey"/>
    <x v="0"/>
    <n v="318"/>
    <n v="16864"/>
    <x v="2"/>
    <n v="39"/>
    <x v="0"/>
    <x v="102"/>
  </r>
  <r>
    <n v="105"/>
    <x v="99"/>
    <x v="1"/>
    <s v="Nancy Grey"/>
    <x v="3"/>
    <n v="51"/>
    <n v="56888"/>
    <x v="0"/>
    <n v="39"/>
    <x v="0"/>
    <x v="103"/>
  </r>
  <r>
    <n v="106"/>
    <x v="102"/>
    <x v="2"/>
    <s v="Andrew Blue"/>
    <x v="0"/>
    <n v="236"/>
    <n v="679"/>
    <x v="1"/>
    <n v="43"/>
    <x v="1"/>
    <x v="104"/>
  </r>
  <r>
    <n v="107"/>
    <x v="103"/>
    <x v="1"/>
    <s v="Nancy Grey"/>
    <x v="3"/>
    <n v="214"/>
    <n v="31122"/>
    <x v="2"/>
    <n v="39"/>
    <x v="0"/>
    <x v="105"/>
  </r>
  <r>
    <n v="108"/>
    <x v="104"/>
    <x v="1"/>
    <s v="David White"/>
    <x v="3"/>
    <n v="86"/>
    <n v="25853"/>
    <x v="0"/>
    <n v="37"/>
    <x v="2"/>
    <x v="106"/>
  </r>
  <r>
    <n v="109"/>
    <x v="105"/>
    <x v="1"/>
    <s v="Laura Black"/>
    <x v="0"/>
    <n v="155"/>
    <n v="11092"/>
    <x v="0"/>
    <n v="44"/>
    <x v="1"/>
    <x v="107"/>
  </r>
  <r>
    <n v="110"/>
    <x v="106"/>
    <x v="1"/>
    <s v="Jane Smith"/>
    <x v="2"/>
    <n v="319"/>
    <n v="4221"/>
    <x v="2"/>
    <n v="42"/>
    <x v="1"/>
    <x v="108"/>
  </r>
  <r>
    <n v="111"/>
    <x v="107"/>
    <x v="2"/>
    <s v="Emily Davis"/>
    <x v="3"/>
    <n v="62"/>
    <n v="31500"/>
    <x v="2"/>
    <n v="40"/>
    <x v="0"/>
    <x v="109"/>
  </r>
  <r>
    <n v="113"/>
    <x v="108"/>
    <x v="0"/>
    <s v="Mike Brown"/>
    <x v="3"/>
    <n v="126"/>
    <n v="40446"/>
    <x v="1"/>
    <n v="41"/>
    <x v="0"/>
    <x v="110"/>
  </r>
  <r>
    <n v="114"/>
    <x v="109"/>
    <x v="1"/>
    <s v="Jane Smith"/>
    <x v="3"/>
    <n v="541"/>
    <n v="42432"/>
    <x v="0"/>
    <n v="42"/>
    <x v="1"/>
    <x v="111"/>
  </r>
  <r>
    <n v="115"/>
    <x v="110"/>
    <x v="0"/>
    <s v="Andrew Blue"/>
    <x v="1"/>
    <n v="666"/>
    <n v="64635"/>
    <x v="2"/>
    <n v="43"/>
    <x v="1"/>
    <x v="112"/>
  </r>
  <r>
    <n v="116"/>
    <x v="111"/>
    <x v="0"/>
    <s v="Jane Smith"/>
    <x v="2"/>
    <n v="527"/>
    <n v="51168"/>
    <x v="2"/>
    <n v="42"/>
    <x v="1"/>
    <x v="113"/>
  </r>
  <r>
    <n v="117"/>
    <x v="112"/>
    <x v="1"/>
    <s v="Nancy Grey"/>
    <x v="3"/>
    <n v="289"/>
    <n v="29448"/>
    <x v="2"/>
    <n v="39"/>
    <x v="0"/>
    <x v="114"/>
  </r>
  <r>
    <n v="118"/>
    <x v="113"/>
    <x v="2"/>
    <s v="Mike Brown"/>
    <x v="2"/>
    <n v="199"/>
    <n v="56118"/>
    <x v="1"/>
    <n v="41"/>
    <x v="0"/>
    <x v="115"/>
  </r>
  <r>
    <n v="119"/>
    <x v="114"/>
    <x v="2"/>
    <s v="Sarah Lee"/>
    <x v="3"/>
    <n v="497"/>
    <n v="46548"/>
    <x v="0"/>
    <n v="36"/>
    <x v="2"/>
    <x v="116"/>
  </r>
  <r>
    <n v="120"/>
    <x v="115"/>
    <x v="2"/>
    <s v="Nancy Grey"/>
    <x v="3"/>
    <n v="358"/>
    <n v="34782"/>
    <x v="0"/>
    <n v="39"/>
    <x v="0"/>
    <x v="1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7FE3CA-1E46-4068-91CD-76C14D9E252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1">
    <pivotField showAll="0"/>
    <pivotField showAll="0"/>
    <pivotField showAll="0">
      <items count="5">
        <item x="2"/>
        <item x="0"/>
        <item x="3"/>
        <item x="1"/>
        <item t="default"/>
      </items>
    </pivotField>
    <pivotField showAll="0"/>
    <pivotField axis="axisRow" showAll="0">
      <items count="5">
        <item x="3"/>
        <item x="2"/>
        <item x="1"/>
        <item x="0"/>
        <item t="default"/>
      </items>
    </pivotField>
    <pivotField showAll="0"/>
    <pivotField dataField="1" showAll="0"/>
    <pivotField showAll="0">
      <items count="4">
        <item x="0"/>
        <item x="2"/>
        <item x="1"/>
        <item t="default"/>
      </items>
    </pivotField>
    <pivotField showAll="0"/>
    <pivotField showAll="0"/>
    <pivotField numFmtId="1" showAll="0"/>
  </pivotFields>
  <rowFields count="1">
    <field x="4"/>
  </rowFields>
  <rowItems count="5">
    <i>
      <x/>
    </i>
    <i>
      <x v="1"/>
    </i>
    <i>
      <x v="2"/>
    </i>
    <i>
      <x v="3"/>
    </i>
    <i t="grand">
      <x/>
    </i>
  </rowItems>
  <colItems count="1">
    <i/>
  </colItems>
  <dataFields count="1">
    <dataField name="Sum of Total Cost" fld="6" baseField="0" baseItem="0" numFmtId="164"/>
  </dataFields>
  <formats count="1">
    <format dxfId="9">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E012D-711E-44AA-98F3-F36FCE3ED83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3" firstHeaderRow="1" firstDataRow="1" firstDataCol="1"/>
  <pivotFields count="11">
    <pivotField dataField="1" showAll="0"/>
    <pivotField showAll="0"/>
    <pivotField showAll="0">
      <items count="5">
        <item x="2"/>
        <item x="0"/>
        <item x="3"/>
        <item x="1"/>
        <item t="default"/>
      </items>
    </pivotField>
    <pivotField axis="axisRow" showAll="0" sortType="descending">
      <items count="10">
        <item x="4"/>
        <item x="6"/>
        <item x="1"/>
        <item x="3"/>
        <item x="7"/>
        <item x="5"/>
        <item x="2"/>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s>
  <rowFields count="1">
    <field x="3"/>
  </rowFields>
  <rowItems count="10">
    <i>
      <x v="7"/>
    </i>
    <i>
      <x v="6"/>
    </i>
    <i>
      <x v="3"/>
    </i>
    <i>
      <x/>
    </i>
    <i>
      <x v="2"/>
    </i>
    <i>
      <x v="5"/>
    </i>
    <i>
      <x v="4"/>
    </i>
    <i>
      <x v="1"/>
    </i>
    <i>
      <x v="8"/>
    </i>
    <i t="grand">
      <x/>
    </i>
  </rowItems>
  <colItems count="1">
    <i/>
  </colItems>
  <dataFields count="1">
    <dataField name="No. of Tasks" fld="0" subtotal="count" baseField="3"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C6BDA-A854-4A4D-962C-C5E1B92A012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4" firstHeaderRow="1" firstDataRow="1" firstDataCol="1"/>
  <pivotFields count="14">
    <pivotField showAll="0"/>
    <pivotField showAll="0">
      <items count="117">
        <item x="113"/>
        <item x="111"/>
        <item x="112"/>
        <item x="114"/>
        <item x="115"/>
        <item x="0"/>
        <item x="1"/>
        <item x="2"/>
        <item x="3"/>
        <item x="4"/>
        <item x="5"/>
        <item x="6"/>
        <item x="7"/>
        <item x="8"/>
        <item x="9"/>
        <item x="10"/>
        <item x="11"/>
        <item x="12"/>
        <item x="99"/>
        <item x="13"/>
        <item x="14"/>
        <item x="15"/>
        <item x="16"/>
        <item x="17"/>
        <item x="18"/>
        <item x="19"/>
        <item x="98"/>
        <item x="20"/>
        <item x="21"/>
        <item x="22"/>
        <item x="23"/>
        <item x="24"/>
        <item x="25"/>
        <item x="26"/>
        <item x="27"/>
        <item x="28"/>
        <item x="29"/>
        <item x="30"/>
        <item x="31"/>
        <item x="97"/>
        <item x="32"/>
        <item x="33"/>
        <item x="34"/>
        <item x="35"/>
        <item x="36"/>
        <item x="37"/>
        <item x="38"/>
        <item x="39"/>
        <item x="40"/>
        <item x="41"/>
        <item x="42"/>
        <item x="43"/>
        <item x="44"/>
        <item x="45"/>
        <item x="46"/>
        <item x="47"/>
        <item x="48"/>
        <item x="49"/>
        <item x="50"/>
        <item x="51"/>
        <item x="52"/>
        <item x="53"/>
        <item x="54"/>
        <item x="55"/>
        <item x="106"/>
        <item x="56"/>
        <item x="57"/>
        <item x="58"/>
        <item x="59"/>
        <item x="60"/>
        <item x="61"/>
        <item x="62"/>
        <item x="63"/>
        <item x="64"/>
        <item x="65"/>
        <item x="66"/>
        <item x="67"/>
        <item x="68"/>
        <item x="69"/>
        <item x="70"/>
        <item x="71"/>
        <item x="72"/>
        <item x="84"/>
        <item x="102"/>
        <item x="73"/>
        <item x="74"/>
        <item x="75"/>
        <item x="76"/>
        <item x="77"/>
        <item x="78"/>
        <item x="95"/>
        <item x="79"/>
        <item x="96"/>
        <item x="80"/>
        <item x="81"/>
        <item x="82"/>
        <item x="83"/>
        <item x="100"/>
        <item x="101"/>
        <item x="86"/>
        <item x="87"/>
        <item x="105"/>
        <item x="88"/>
        <item x="107"/>
        <item x="89"/>
        <item x="104"/>
        <item x="90"/>
        <item x="109"/>
        <item x="108"/>
        <item x="91"/>
        <item x="93"/>
        <item x="85"/>
        <item x="94"/>
        <item x="110"/>
        <item x="92"/>
        <item x="103"/>
        <item t="default"/>
      </items>
    </pivotField>
    <pivotField showAll="0">
      <items count="5">
        <item x="2"/>
        <item x="0"/>
        <item x="3"/>
        <item x="1"/>
        <item t="default"/>
      </items>
    </pivotField>
    <pivotField showAll="0"/>
    <pivotField showAll="0"/>
    <pivotField dataField="1" showAll="0"/>
    <pivotField showAll="0"/>
    <pivotField showAll="0">
      <items count="4">
        <item x="0"/>
        <item x="2"/>
        <item x="1"/>
        <item t="default"/>
      </items>
    </pivotField>
    <pivotField showAll="0"/>
    <pivotField showAll="0">
      <items count="4">
        <item x="2"/>
        <item x="0"/>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3"/>
    <field x="11"/>
  </rowFields>
  <rowItems count="31">
    <i>
      <x v="1"/>
    </i>
    <i r="1">
      <x v="4"/>
    </i>
    <i r="1">
      <x v="6"/>
    </i>
    <i r="1">
      <x v="7"/>
    </i>
    <i>
      <x v="2"/>
    </i>
    <i r="1">
      <x v="8"/>
    </i>
    <i r="1">
      <x v="11"/>
    </i>
    <i>
      <x v="3"/>
    </i>
    <i r="1">
      <x v="1"/>
    </i>
    <i r="1">
      <x v="2"/>
    </i>
    <i r="1">
      <x v="3"/>
    </i>
    <i r="1">
      <x v="4"/>
    </i>
    <i r="1">
      <x v="5"/>
    </i>
    <i r="1">
      <x v="6"/>
    </i>
    <i r="1">
      <x v="7"/>
    </i>
    <i r="1">
      <x v="8"/>
    </i>
    <i r="1">
      <x v="9"/>
    </i>
    <i r="1">
      <x v="10"/>
    </i>
    <i r="1">
      <x v="11"/>
    </i>
    <i r="1">
      <x v="12"/>
    </i>
    <i>
      <x v="4"/>
    </i>
    <i r="1">
      <x v="1"/>
    </i>
    <i r="1">
      <x v="2"/>
    </i>
    <i r="1">
      <x v="3"/>
    </i>
    <i r="1">
      <x v="4"/>
    </i>
    <i r="1">
      <x v="5"/>
    </i>
    <i r="1">
      <x v="6"/>
    </i>
    <i r="1">
      <x v="7"/>
    </i>
    <i r="1">
      <x v="10"/>
    </i>
    <i r="1">
      <x v="11"/>
    </i>
    <i t="grand">
      <x/>
    </i>
  </rowItems>
  <colItems count="1">
    <i/>
  </colItems>
  <dataFields count="1">
    <dataField name="Sum of Units Produced" fld="5" baseField="0" baseItem="0"/>
  </dataFields>
  <chartFormats count="93">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11" count="1" selected="0">
            <x v="3"/>
          </reference>
          <reference field="13" count="1" selected="0">
            <x v="4"/>
          </reference>
        </references>
      </pivotArea>
    </chartFormat>
    <chartFormat chart="1" format="2">
      <pivotArea type="data" outline="0" fieldPosition="0">
        <references count="3">
          <reference field="4294967294" count="1" selected="0">
            <x v="0"/>
          </reference>
          <reference field="11" count="1" selected="0">
            <x v="1"/>
          </reference>
          <reference field="13" count="1" selected="0">
            <x v="4"/>
          </reference>
        </references>
      </pivotArea>
    </chartFormat>
    <chartFormat chart="1" format="3">
      <pivotArea type="data" outline="0" fieldPosition="0">
        <references count="3">
          <reference field="4294967294" count="1" selected="0">
            <x v="0"/>
          </reference>
          <reference field="11" count="1" selected="0">
            <x v="2"/>
          </reference>
          <reference field="13" count="1" selected="0">
            <x v="4"/>
          </reference>
        </references>
      </pivotArea>
    </chartFormat>
    <chartFormat chart="1" format="4">
      <pivotArea type="data" outline="0" fieldPosition="0">
        <references count="3">
          <reference field="4294967294" count="1" selected="0">
            <x v="0"/>
          </reference>
          <reference field="11" count="1" selected="0">
            <x v="4"/>
          </reference>
          <reference field="13" count="1" selected="0">
            <x v="1"/>
          </reference>
        </references>
      </pivotArea>
    </chartFormat>
    <chartFormat chart="1" format="5">
      <pivotArea type="data" outline="0" fieldPosition="0">
        <references count="3">
          <reference field="4294967294" count="1" selected="0">
            <x v="0"/>
          </reference>
          <reference field="11" count="1" selected="0">
            <x v="6"/>
          </reference>
          <reference field="13" count="1" selected="0">
            <x v="1"/>
          </reference>
        </references>
      </pivotArea>
    </chartFormat>
    <chartFormat chart="1" format="6">
      <pivotArea type="data" outline="0" fieldPosition="0">
        <references count="3">
          <reference field="4294967294" count="1" selected="0">
            <x v="0"/>
          </reference>
          <reference field="11" count="1" selected="0">
            <x v="6"/>
          </reference>
          <reference field="13" count="1" selected="0">
            <x v="4"/>
          </reference>
        </references>
      </pivotArea>
    </chartFormat>
    <chartFormat chart="1" format="7">
      <pivotArea type="data" outline="0" fieldPosition="0">
        <references count="3">
          <reference field="4294967294" count="1" selected="0">
            <x v="0"/>
          </reference>
          <reference field="11" count="1" selected="0">
            <x v="5"/>
          </reference>
          <reference field="13" count="1" selected="0">
            <x v="4"/>
          </reference>
        </references>
      </pivotArea>
    </chartFormat>
    <chartFormat chart="1" format="8">
      <pivotArea type="data" outline="0" fieldPosition="0">
        <references count="3">
          <reference field="4294967294" count="1" selected="0">
            <x v="0"/>
          </reference>
          <reference field="11" count="1" selected="0">
            <x v="4"/>
          </reference>
          <reference field="13" count="1" selected="0">
            <x v="4"/>
          </reference>
        </references>
      </pivotArea>
    </chartFormat>
    <chartFormat chart="1" format="9">
      <pivotArea type="data" outline="0" fieldPosition="0">
        <references count="3">
          <reference field="4294967294" count="1" selected="0">
            <x v="0"/>
          </reference>
          <reference field="11" count="1" selected="0">
            <x v="12"/>
          </reference>
          <reference field="13" count="1" selected="0">
            <x v="3"/>
          </reference>
        </references>
      </pivotArea>
    </chartFormat>
    <chartFormat chart="1" format="10">
      <pivotArea type="data" outline="0" fieldPosition="0">
        <references count="3">
          <reference field="4294967294" count="1" selected="0">
            <x v="0"/>
          </reference>
          <reference field="11" count="1" selected="0">
            <x v="11"/>
          </reference>
          <reference field="13" count="1" selected="0">
            <x v="3"/>
          </reference>
        </references>
      </pivotArea>
    </chartFormat>
    <chartFormat chart="1" format="11">
      <pivotArea type="data" outline="0" fieldPosition="0">
        <references count="3">
          <reference field="4294967294" count="1" selected="0">
            <x v="0"/>
          </reference>
          <reference field="11" count="1" selected="0">
            <x v="10"/>
          </reference>
          <reference field="13" count="1" selected="0">
            <x v="3"/>
          </reference>
        </references>
      </pivotArea>
    </chartFormat>
    <chartFormat chart="1" format="12">
      <pivotArea type="data" outline="0" fieldPosition="0">
        <references count="3">
          <reference field="4294967294" count="1" selected="0">
            <x v="0"/>
          </reference>
          <reference field="11" count="1" selected="0">
            <x v="9"/>
          </reference>
          <reference field="13" count="1" selected="0">
            <x v="3"/>
          </reference>
        </references>
      </pivotArea>
    </chartFormat>
    <chartFormat chart="1" format="13">
      <pivotArea type="data" outline="0" fieldPosition="0">
        <references count="3">
          <reference field="4294967294" count="1" selected="0">
            <x v="0"/>
          </reference>
          <reference field="11" count="1" selected="0">
            <x v="8"/>
          </reference>
          <reference field="13" count="1" selected="0">
            <x v="3"/>
          </reference>
        </references>
      </pivotArea>
    </chartFormat>
    <chartFormat chart="1" format="14">
      <pivotArea type="data" outline="0" fieldPosition="0">
        <references count="3">
          <reference field="4294967294" count="1" selected="0">
            <x v="0"/>
          </reference>
          <reference field="11" count="1" selected="0">
            <x v="7"/>
          </reference>
          <reference field="13" count="1" selected="0">
            <x v="3"/>
          </reference>
        </references>
      </pivotArea>
    </chartFormat>
    <chartFormat chart="1" format="15">
      <pivotArea type="data" outline="0" fieldPosition="0">
        <references count="3">
          <reference field="4294967294" count="1" selected="0">
            <x v="0"/>
          </reference>
          <reference field="11" count="1" selected="0">
            <x v="6"/>
          </reference>
          <reference field="13" count="1" selected="0">
            <x v="3"/>
          </reference>
        </references>
      </pivotArea>
    </chartFormat>
    <chartFormat chart="1" format="16">
      <pivotArea type="data" outline="0" fieldPosition="0">
        <references count="3">
          <reference field="4294967294" count="1" selected="0">
            <x v="0"/>
          </reference>
          <reference field="11" count="1" selected="0">
            <x v="5"/>
          </reference>
          <reference field="13" count="1" selected="0">
            <x v="3"/>
          </reference>
        </references>
      </pivotArea>
    </chartFormat>
    <chartFormat chart="1" format="17">
      <pivotArea type="data" outline="0" fieldPosition="0">
        <references count="3">
          <reference field="4294967294" count="1" selected="0">
            <x v="0"/>
          </reference>
          <reference field="11" count="1" selected="0">
            <x v="4"/>
          </reference>
          <reference field="13" count="1" selected="0">
            <x v="3"/>
          </reference>
        </references>
      </pivotArea>
    </chartFormat>
    <chartFormat chart="1" format="18">
      <pivotArea type="data" outline="0" fieldPosition="0">
        <references count="3">
          <reference field="4294967294" count="1" selected="0">
            <x v="0"/>
          </reference>
          <reference field="11" count="1" selected="0">
            <x v="3"/>
          </reference>
          <reference field="13" count="1" selected="0">
            <x v="3"/>
          </reference>
        </references>
      </pivotArea>
    </chartFormat>
    <chartFormat chart="1" format="19">
      <pivotArea type="data" outline="0" fieldPosition="0">
        <references count="3">
          <reference field="4294967294" count="1" selected="0">
            <x v="0"/>
          </reference>
          <reference field="11" count="1" selected="0">
            <x v="1"/>
          </reference>
          <reference field="13" count="1" selected="0">
            <x v="3"/>
          </reference>
        </references>
      </pivotArea>
    </chartFormat>
    <chartFormat chart="1" format="20">
      <pivotArea type="data" outline="0" fieldPosition="0">
        <references count="3">
          <reference field="4294967294" count="1" selected="0">
            <x v="0"/>
          </reference>
          <reference field="11" count="1" selected="0">
            <x v="11"/>
          </reference>
          <reference field="13" count="1" selected="0">
            <x v="2"/>
          </reference>
        </references>
      </pivotArea>
    </chartFormat>
    <chartFormat chart="1" format="21">
      <pivotArea type="data" outline="0" fieldPosition="0">
        <references count="3">
          <reference field="4294967294" count="1" selected="0">
            <x v="0"/>
          </reference>
          <reference field="11" count="1" selected="0">
            <x v="8"/>
          </reference>
          <reference field="13" count="1" selected="0">
            <x v="2"/>
          </reference>
        </references>
      </pivotArea>
    </chartFormat>
    <chartFormat chart="1" format="22">
      <pivotArea type="data" outline="0" fieldPosition="0">
        <references count="3">
          <reference field="4294967294" count="1" selected="0">
            <x v="0"/>
          </reference>
          <reference field="11" count="1" selected="0">
            <x v="7"/>
          </reference>
          <reference field="13" count="1" selected="0">
            <x v="1"/>
          </reference>
        </references>
      </pivotArea>
    </chartFormat>
    <chartFormat chart="3" format="46" series="1">
      <pivotArea type="data" outline="0" fieldPosition="0">
        <references count="1">
          <reference field="4294967294" count="1" selected="0">
            <x v="0"/>
          </reference>
        </references>
      </pivotArea>
    </chartFormat>
    <chartFormat chart="3" format="47">
      <pivotArea type="data" outline="0" fieldPosition="0">
        <references count="3">
          <reference field="4294967294" count="1" selected="0">
            <x v="0"/>
          </reference>
          <reference field="11" count="1" selected="0">
            <x v="4"/>
          </reference>
          <reference field="13" count="1" selected="0">
            <x v="1"/>
          </reference>
        </references>
      </pivotArea>
    </chartFormat>
    <chartFormat chart="3" format="48">
      <pivotArea type="data" outline="0" fieldPosition="0">
        <references count="3">
          <reference field="4294967294" count="1" selected="0">
            <x v="0"/>
          </reference>
          <reference field="11" count="1" selected="0">
            <x v="6"/>
          </reference>
          <reference field="13" count="1" selected="0">
            <x v="1"/>
          </reference>
        </references>
      </pivotArea>
    </chartFormat>
    <chartFormat chart="3" format="49">
      <pivotArea type="data" outline="0" fieldPosition="0">
        <references count="3">
          <reference field="4294967294" count="1" selected="0">
            <x v="0"/>
          </reference>
          <reference field="11" count="1" selected="0">
            <x v="7"/>
          </reference>
          <reference field="13" count="1" selected="0">
            <x v="1"/>
          </reference>
        </references>
      </pivotArea>
    </chartFormat>
    <chartFormat chart="3" format="50">
      <pivotArea type="data" outline="0" fieldPosition="0">
        <references count="3">
          <reference field="4294967294" count="1" selected="0">
            <x v="0"/>
          </reference>
          <reference field="11" count="1" selected="0">
            <x v="8"/>
          </reference>
          <reference field="13" count="1" selected="0">
            <x v="2"/>
          </reference>
        </references>
      </pivotArea>
    </chartFormat>
    <chartFormat chart="3" format="51">
      <pivotArea type="data" outline="0" fieldPosition="0">
        <references count="3">
          <reference field="4294967294" count="1" selected="0">
            <x v="0"/>
          </reference>
          <reference field="11" count="1" selected="0">
            <x v="11"/>
          </reference>
          <reference field="13" count="1" selected="0">
            <x v="2"/>
          </reference>
        </references>
      </pivotArea>
    </chartFormat>
    <chartFormat chart="3" format="52">
      <pivotArea type="data" outline="0" fieldPosition="0">
        <references count="3">
          <reference field="4294967294" count="1" selected="0">
            <x v="0"/>
          </reference>
          <reference field="11" count="1" selected="0">
            <x v="1"/>
          </reference>
          <reference field="13" count="1" selected="0">
            <x v="3"/>
          </reference>
        </references>
      </pivotArea>
    </chartFormat>
    <chartFormat chart="3" format="53">
      <pivotArea type="data" outline="0" fieldPosition="0">
        <references count="3">
          <reference field="4294967294" count="1" selected="0">
            <x v="0"/>
          </reference>
          <reference field="11" count="1" selected="0">
            <x v="3"/>
          </reference>
          <reference field="13" count="1" selected="0">
            <x v="3"/>
          </reference>
        </references>
      </pivotArea>
    </chartFormat>
    <chartFormat chart="3" format="54">
      <pivotArea type="data" outline="0" fieldPosition="0">
        <references count="3">
          <reference field="4294967294" count="1" selected="0">
            <x v="0"/>
          </reference>
          <reference field="11" count="1" selected="0">
            <x v="4"/>
          </reference>
          <reference field="13" count="1" selected="0">
            <x v="3"/>
          </reference>
        </references>
      </pivotArea>
    </chartFormat>
    <chartFormat chart="3" format="55">
      <pivotArea type="data" outline="0" fieldPosition="0">
        <references count="3">
          <reference field="4294967294" count="1" selected="0">
            <x v="0"/>
          </reference>
          <reference field="11" count="1" selected="0">
            <x v="5"/>
          </reference>
          <reference field="13" count="1" selected="0">
            <x v="3"/>
          </reference>
        </references>
      </pivotArea>
    </chartFormat>
    <chartFormat chart="3" format="56">
      <pivotArea type="data" outline="0" fieldPosition="0">
        <references count="3">
          <reference field="4294967294" count="1" selected="0">
            <x v="0"/>
          </reference>
          <reference field="11" count="1" selected="0">
            <x v="6"/>
          </reference>
          <reference field="13" count="1" selected="0">
            <x v="3"/>
          </reference>
        </references>
      </pivotArea>
    </chartFormat>
    <chartFormat chart="3" format="57">
      <pivotArea type="data" outline="0" fieldPosition="0">
        <references count="3">
          <reference field="4294967294" count="1" selected="0">
            <x v="0"/>
          </reference>
          <reference field="11" count="1" selected="0">
            <x v="7"/>
          </reference>
          <reference field="13" count="1" selected="0">
            <x v="3"/>
          </reference>
        </references>
      </pivotArea>
    </chartFormat>
    <chartFormat chart="3" format="58">
      <pivotArea type="data" outline="0" fieldPosition="0">
        <references count="3">
          <reference field="4294967294" count="1" selected="0">
            <x v="0"/>
          </reference>
          <reference field="11" count="1" selected="0">
            <x v="8"/>
          </reference>
          <reference field="13" count="1" selected="0">
            <x v="3"/>
          </reference>
        </references>
      </pivotArea>
    </chartFormat>
    <chartFormat chart="3" format="59">
      <pivotArea type="data" outline="0" fieldPosition="0">
        <references count="3">
          <reference field="4294967294" count="1" selected="0">
            <x v="0"/>
          </reference>
          <reference field="11" count="1" selected="0">
            <x v="9"/>
          </reference>
          <reference field="13" count="1" selected="0">
            <x v="3"/>
          </reference>
        </references>
      </pivotArea>
    </chartFormat>
    <chartFormat chart="3" format="60">
      <pivotArea type="data" outline="0" fieldPosition="0">
        <references count="3">
          <reference field="4294967294" count="1" selected="0">
            <x v="0"/>
          </reference>
          <reference field="11" count="1" selected="0">
            <x v="10"/>
          </reference>
          <reference field="13" count="1" selected="0">
            <x v="3"/>
          </reference>
        </references>
      </pivotArea>
    </chartFormat>
    <chartFormat chart="3" format="61">
      <pivotArea type="data" outline="0" fieldPosition="0">
        <references count="3">
          <reference field="4294967294" count="1" selected="0">
            <x v="0"/>
          </reference>
          <reference field="11" count="1" selected="0">
            <x v="11"/>
          </reference>
          <reference field="13" count="1" selected="0">
            <x v="3"/>
          </reference>
        </references>
      </pivotArea>
    </chartFormat>
    <chartFormat chart="3" format="62">
      <pivotArea type="data" outline="0" fieldPosition="0">
        <references count="3">
          <reference field="4294967294" count="1" selected="0">
            <x v="0"/>
          </reference>
          <reference field="11" count="1" selected="0">
            <x v="12"/>
          </reference>
          <reference field="13" count="1" selected="0">
            <x v="3"/>
          </reference>
        </references>
      </pivotArea>
    </chartFormat>
    <chartFormat chart="3" format="63">
      <pivotArea type="data" outline="0" fieldPosition="0">
        <references count="3">
          <reference field="4294967294" count="1" selected="0">
            <x v="0"/>
          </reference>
          <reference field="11" count="1" selected="0">
            <x v="1"/>
          </reference>
          <reference field="13" count="1" selected="0">
            <x v="4"/>
          </reference>
        </references>
      </pivotArea>
    </chartFormat>
    <chartFormat chart="3" format="64">
      <pivotArea type="data" outline="0" fieldPosition="0">
        <references count="3">
          <reference field="4294967294" count="1" selected="0">
            <x v="0"/>
          </reference>
          <reference field="11" count="1" selected="0">
            <x v="2"/>
          </reference>
          <reference field="13" count="1" selected="0">
            <x v="4"/>
          </reference>
        </references>
      </pivotArea>
    </chartFormat>
    <chartFormat chart="3" format="65">
      <pivotArea type="data" outline="0" fieldPosition="0">
        <references count="3">
          <reference field="4294967294" count="1" selected="0">
            <x v="0"/>
          </reference>
          <reference field="11" count="1" selected="0">
            <x v="3"/>
          </reference>
          <reference field="13" count="1" selected="0">
            <x v="4"/>
          </reference>
        </references>
      </pivotArea>
    </chartFormat>
    <chartFormat chart="3" format="66">
      <pivotArea type="data" outline="0" fieldPosition="0">
        <references count="3">
          <reference field="4294967294" count="1" selected="0">
            <x v="0"/>
          </reference>
          <reference field="11" count="1" selected="0">
            <x v="4"/>
          </reference>
          <reference field="13" count="1" selected="0">
            <x v="4"/>
          </reference>
        </references>
      </pivotArea>
    </chartFormat>
    <chartFormat chart="3" format="67">
      <pivotArea type="data" outline="0" fieldPosition="0">
        <references count="3">
          <reference field="4294967294" count="1" selected="0">
            <x v="0"/>
          </reference>
          <reference field="11" count="1" selected="0">
            <x v="5"/>
          </reference>
          <reference field="13" count="1" selected="0">
            <x v="4"/>
          </reference>
        </references>
      </pivotArea>
    </chartFormat>
    <chartFormat chart="3" format="68">
      <pivotArea type="data" outline="0" fieldPosition="0">
        <references count="3">
          <reference field="4294967294" count="1" selected="0">
            <x v="0"/>
          </reference>
          <reference field="11" count="1" selected="0">
            <x v="6"/>
          </reference>
          <reference field="13" count="1" selected="0">
            <x v="4"/>
          </reference>
        </references>
      </pivotArea>
    </chartFormat>
    <chartFormat chart="4" format="23" series="1">
      <pivotArea type="data" outline="0" fieldPosition="0">
        <references count="1">
          <reference field="4294967294" count="1" selected="0">
            <x v="0"/>
          </reference>
        </references>
      </pivotArea>
    </chartFormat>
    <chartFormat chart="4" format="24">
      <pivotArea type="data" outline="0" fieldPosition="0">
        <references count="3">
          <reference field="4294967294" count="1" selected="0">
            <x v="0"/>
          </reference>
          <reference field="11" count="1" selected="0">
            <x v="4"/>
          </reference>
          <reference field="13" count="1" selected="0">
            <x v="1"/>
          </reference>
        </references>
      </pivotArea>
    </chartFormat>
    <chartFormat chart="4" format="25">
      <pivotArea type="data" outline="0" fieldPosition="0">
        <references count="3">
          <reference field="4294967294" count="1" selected="0">
            <x v="0"/>
          </reference>
          <reference field="11" count="1" selected="0">
            <x v="6"/>
          </reference>
          <reference field="13" count="1" selected="0">
            <x v="1"/>
          </reference>
        </references>
      </pivotArea>
    </chartFormat>
    <chartFormat chart="4" format="26">
      <pivotArea type="data" outline="0" fieldPosition="0">
        <references count="3">
          <reference field="4294967294" count="1" selected="0">
            <x v="0"/>
          </reference>
          <reference field="11" count="1" selected="0">
            <x v="7"/>
          </reference>
          <reference field="13" count="1" selected="0">
            <x v="1"/>
          </reference>
        </references>
      </pivotArea>
    </chartFormat>
    <chartFormat chart="4" format="27">
      <pivotArea type="data" outline="0" fieldPosition="0">
        <references count="3">
          <reference field="4294967294" count="1" selected="0">
            <x v="0"/>
          </reference>
          <reference field="11" count="1" selected="0">
            <x v="8"/>
          </reference>
          <reference field="13" count="1" selected="0">
            <x v="2"/>
          </reference>
        </references>
      </pivotArea>
    </chartFormat>
    <chartFormat chart="4" format="28">
      <pivotArea type="data" outline="0" fieldPosition="0">
        <references count="3">
          <reference field="4294967294" count="1" selected="0">
            <x v="0"/>
          </reference>
          <reference field="11" count="1" selected="0">
            <x v="11"/>
          </reference>
          <reference field="13" count="1" selected="0">
            <x v="2"/>
          </reference>
        </references>
      </pivotArea>
    </chartFormat>
    <chartFormat chart="4" format="29">
      <pivotArea type="data" outline="0" fieldPosition="0">
        <references count="3">
          <reference field="4294967294" count="1" selected="0">
            <x v="0"/>
          </reference>
          <reference field="11" count="1" selected="0">
            <x v="1"/>
          </reference>
          <reference field="13" count="1" selected="0">
            <x v="3"/>
          </reference>
        </references>
      </pivotArea>
    </chartFormat>
    <chartFormat chart="4" format="30">
      <pivotArea type="data" outline="0" fieldPosition="0">
        <references count="3">
          <reference field="4294967294" count="1" selected="0">
            <x v="0"/>
          </reference>
          <reference field="11" count="1" selected="0">
            <x v="3"/>
          </reference>
          <reference field="13" count="1" selected="0">
            <x v="3"/>
          </reference>
        </references>
      </pivotArea>
    </chartFormat>
    <chartFormat chart="4" format="31">
      <pivotArea type="data" outline="0" fieldPosition="0">
        <references count="3">
          <reference field="4294967294" count="1" selected="0">
            <x v="0"/>
          </reference>
          <reference field="11" count="1" selected="0">
            <x v="4"/>
          </reference>
          <reference field="13" count="1" selected="0">
            <x v="3"/>
          </reference>
        </references>
      </pivotArea>
    </chartFormat>
    <chartFormat chart="4" format="32">
      <pivotArea type="data" outline="0" fieldPosition="0">
        <references count="3">
          <reference field="4294967294" count="1" selected="0">
            <x v="0"/>
          </reference>
          <reference field="11" count="1" selected="0">
            <x v="5"/>
          </reference>
          <reference field="13" count="1" selected="0">
            <x v="3"/>
          </reference>
        </references>
      </pivotArea>
    </chartFormat>
    <chartFormat chart="4" format="33">
      <pivotArea type="data" outline="0" fieldPosition="0">
        <references count="3">
          <reference field="4294967294" count="1" selected="0">
            <x v="0"/>
          </reference>
          <reference field="11" count="1" selected="0">
            <x v="6"/>
          </reference>
          <reference field="13" count="1" selected="0">
            <x v="3"/>
          </reference>
        </references>
      </pivotArea>
    </chartFormat>
    <chartFormat chart="4" format="34">
      <pivotArea type="data" outline="0" fieldPosition="0">
        <references count="3">
          <reference field="4294967294" count="1" selected="0">
            <x v="0"/>
          </reference>
          <reference field="11" count="1" selected="0">
            <x v="7"/>
          </reference>
          <reference field="13" count="1" selected="0">
            <x v="3"/>
          </reference>
        </references>
      </pivotArea>
    </chartFormat>
    <chartFormat chart="4" format="35">
      <pivotArea type="data" outline="0" fieldPosition="0">
        <references count="3">
          <reference field="4294967294" count="1" selected="0">
            <x v="0"/>
          </reference>
          <reference field="11" count="1" selected="0">
            <x v="8"/>
          </reference>
          <reference field="13" count="1" selected="0">
            <x v="3"/>
          </reference>
        </references>
      </pivotArea>
    </chartFormat>
    <chartFormat chart="4" format="36">
      <pivotArea type="data" outline="0" fieldPosition="0">
        <references count="3">
          <reference field="4294967294" count="1" selected="0">
            <x v="0"/>
          </reference>
          <reference field="11" count="1" selected="0">
            <x v="9"/>
          </reference>
          <reference field="13" count="1" selected="0">
            <x v="3"/>
          </reference>
        </references>
      </pivotArea>
    </chartFormat>
    <chartFormat chart="4" format="37">
      <pivotArea type="data" outline="0" fieldPosition="0">
        <references count="3">
          <reference field="4294967294" count="1" selected="0">
            <x v="0"/>
          </reference>
          <reference field="11" count="1" selected="0">
            <x v="10"/>
          </reference>
          <reference field="13" count="1" selected="0">
            <x v="3"/>
          </reference>
        </references>
      </pivotArea>
    </chartFormat>
    <chartFormat chart="4" format="38">
      <pivotArea type="data" outline="0" fieldPosition="0">
        <references count="3">
          <reference field="4294967294" count="1" selected="0">
            <x v="0"/>
          </reference>
          <reference field="11" count="1" selected="0">
            <x v="11"/>
          </reference>
          <reference field="13" count="1" selected="0">
            <x v="3"/>
          </reference>
        </references>
      </pivotArea>
    </chartFormat>
    <chartFormat chart="4" format="39">
      <pivotArea type="data" outline="0" fieldPosition="0">
        <references count="3">
          <reference field="4294967294" count="1" selected="0">
            <x v="0"/>
          </reference>
          <reference field="11" count="1" selected="0">
            <x v="12"/>
          </reference>
          <reference field="13" count="1" selected="0">
            <x v="3"/>
          </reference>
        </references>
      </pivotArea>
    </chartFormat>
    <chartFormat chart="4" format="40">
      <pivotArea type="data" outline="0" fieldPosition="0">
        <references count="3">
          <reference field="4294967294" count="1" selected="0">
            <x v="0"/>
          </reference>
          <reference field="11" count="1" selected="0">
            <x v="1"/>
          </reference>
          <reference field="13" count="1" selected="0">
            <x v="4"/>
          </reference>
        </references>
      </pivotArea>
    </chartFormat>
    <chartFormat chart="4" format="41">
      <pivotArea type="data" outline="0" fieldPosition="0">
        <references count="3">
          <reference field="4294967294" count="1" selected="0">
            <x v="0"/>
          </reference>
          <reference field="11" count="1" selected="0">
            <x v="2"/>
          </reference>
          <reference field="13" count="1" selected="0">
            <x v="4"/>
          </reference>
        </references>
      </pivotArea>
    </chartFormat>
    <chartFormat chart="4" format="42">
      <pivotArea type="data" outline="0" fieldPosition="0">
        <references count="3">
          <reference field="4294967294" count="1" selected="0">
            <x v="0"/>
          </reference>
          <reference field="11" count="1" selected="0">
            <x v="3"/>
          </reference>
          <reference field="13" count="1" selected="0">
            <x v="4"/>
          </reference>
        </references>
      </pivotArea>
    </chartFormat>
    <chartFormat chart="4" format="43">
      <pivotArea type="data" outline="0" fieldPosition="0">
        <references count="3">
          <reference field="4294967294" count="1" selected="0">
            <x v="0"/>
          </reference>
          <reference field="11" count="1" selected="0">
            <x v="4"/>
          </reference>
          <reference field="13" count="1" selected="0">
            <x v="4"/>
          </reference>
        </references>
      </pivotArea>
    </chartFormat>
    <chartFormat chart="4" format="44">
      <pivotArea type="data" outline="0" fieldPosition="0">
        <references count="3">
          <reference field="4294967294" count="1" selected="0">
            <x v="0"/>
          </reference>
          <reference field="11" count="1" selected="0">
            <x v="5"/>
          </reference>
          <reference field="13" count="1" selected="0">
            <x v="4"/>
          </reference>
        </references>
      </pivotArea>
    </chartFormat>
    <chartFormat chart="4" format="45">
      <pivotArea type="data" outline="0" fieldPosition="0">
        <references count="3">
          <reference field="4294967294" count="1" selected="0">
            <x v="0"/>
          </reference>
          <reference field="11" count="1" selected="0">
            <x v="6"/>
          </reference>
          <reference field="13" count="1" selected="0">
            <x v="4"/>
          </reference>
        </references>
      </pivotArea>
    </chartFormat>
    <chartFormat chart="5" format="46" series="1">
      <pivotArea type="data" outline="0" fieldPosition="0">
        <references count="1">
          <reference field="4294967294" count="1" selected="0">
            <x v="0"/>
          </reference>
        </references>
      </pivotArea>
    </chartFormat>
    <chartFormat chart="5" format="47">
      <pivotArea type="data" outline="0" fieldPosition="0">
        <references count="3">
          <reference field="4294967294" count="1" selected="0">
            <x v="0"/>
          </reference>
          <reference field="11" count="1" selected="0">
            <x v="4"/>
          </reference>
          <reference field="13" count="1" selected="0">
            <x v="1"/>
          </reference>
        </references>
      </pivotArea>
    </chartFormat>
    <chartFormat chart="5" format="48">
      <pivotArea type="data" outline="0" fieldPosition="0">
        <references count="3">
          <reference field="4294967294" count="1" selected="0">
            <x v="0"/>
          </reference>
          <reference field="11" count="1" selected="0">
            <x v="6"/>
          </reference>
          <reference field="13" count="1" selected="0">
            <x v="1"/>
          </reference>
        </references>
      </pivotArea>
    </chartFormat>
    <chartFormat chart="5" format="49">
      <pivotArea type="data" outline="0" fieldPosition="0">
        <references count="3">
          <reference field="4294967294" count="1" selected="0">
            <x v="0"/>
          </reference>
          <reference field="11" count="1" selected="0">
            <x v="7"/>
          </reference>
          <reference field="13" count="1" selected="0">
            <x v="1"/>
          </reference>
        </references>
      </pivotArea>
    </chartFormat>
    <chartFormat chart="5" format="50">
      <pivotArea type="data" outline="0" fieldPosition="0">
        <references count="3">
          <reference field="4294967294" count="1" selected="0">
            <x v="0"/>
          </reference>
          <reference field="11" count="1" selected="0">
            <x v="8"/>
          </reference>
          <reference field="13" count="1" selected="0">
            <x v="2"/>
          </reference>
        </references>
      </pivotArea>
    </chartFormat>
    <chartFormat chart="5" format="51">
      <pivotArea type="data" outline="0" fieldPosition="0">
        <references count="3">
          <reference field="4294967294" count="1" selected="0">
            <x v="0"/>
          </reference>
          <reference field="11" count="1" selected="0">
            <x v="11"/>
          </reference>
          <reference field="13" count="1" selected="0">
            <x v="2"/>
          </reference>
        </references>
      </pivotArea>
    </chartFormat>
    <chartFormat chart="5" format="52">
      <pivotArea type="data" outline="0" fieldPosition="0">
        <references count="3">
          <reference field="4294967294" count="1" selected="0">
            <x v="0"/>
          </reference>
          <reference field="11" count="1" selected="0">
            <x v="1"/>
          </reference>
          <reference field="13" count="1" selected="0">
            <x v="3"/>
          </reference>
        </references>
      </pivotArea>
    </chartFormat>
    <chartFormat chart="5" format="53">
      <pivotArea type="data" outline="0" fieldPosition="0">
        <references count="3">
          <reference field="4294967294" count="1" selected="0">
            <x v="0"/>
          </reference>
          <reference field="11" count="1" selected="0">
            <x v="3"/>
          </reference>
          <reference field="13" count="1" selected="0">
            <x v="3"/>
          </reference>
        </references>
      </pivotArea>
    </chartFormat>
    <chartFormat chart="5" format="54">
      <pivotArea type="data" outline="0" fieldPosition="0">
        <references count="3">
          <reference field="4294967294" count="1" selected="0">
            <x v="0"/>
          </reference>
          <reference field="11" count="1" selected="0">
            <x v="4"/>
          </reference>
          <reference field="13" count="1" selected="0">
            <x v="3"/>
          </reference>
        </references>
      </pivotArea>
    </chartFormat>
    <chartFormat chart="5" format="55">
      <pivotArea type="data" outline="0" fieldPosition="0">
        <references count="3">
          <reference field="4294967294" count="1" selected="0">
            <x v="0"/>
          </reference>
          <reference field="11" count="1" selected="0">
            <x v="5"/>
          </reference>
          <reference field="13" count="1" selected="0">
            <x v="3"/>
          </reference>
        </references>
      </pivotArea>
    </chartFormat>
    <chartFormat chart="5" format="56">
      <pivotArea type="data" outline="0" fieldPosition="0">
        <references count="3">
          <reference field="4294967294" count="1" selected="0">
            <x v="0"/>
          </reference>
          <reference field="11" count="1" selected="0">
            <x v="6"/>
          </reference>
          <reference field="13" count="1" selected="0">
            <x v="3"/>
          </reference>
        </references>
      </pivotArea>
    </chartFormat>
    <chartFormat chart="5" format="57">
      <pivotArea type="data" outline="0" fieldPosition="0">
        <references count="3">
          <reference field="4294967294" count="1" selected="0">
            <x v="0"/>
          </reference>
          <reference field="11" count="1" selected="0">
            <x v="7"/>
          </reference>
          <reference field="13" count="1" selected="0">
            <x v="3"/>
          </reference>
        </references>
      </pivotArea>
    </chartFormat>
    <chartFormat chart="5" format="58">
      <pivotArea type="data" outline="0" fieldPosition="0">
        <references count="3">
          <reference field="4294967294" count="1" selected="0">
            <x v="0"/>
          </reference>
          <reference field="11" count="1" selected="0">
            <x v="8"/>
          </reference>
          <reference field="13" count="1" selected="0">
            <x v="3"/>
          </reference>
        </references>
      </pivotArea>
    </chartFormat>
    <chartFormat chart="5" format="59">
      <pivotArea type="data" outline="0" fieldPosition="0">
        <references count="3">
          <reference field="4294967294" count="1" selected="0">
            <x v="0"/>
          </reference>
          <reference field="11" count="1" selected="0">
            <x v="9"/>
          </reference>
          <reference field="13" count="1" selected="0">
            <x v="3"/>
          </reference>
        </references>
      </pivotArea>
    </chartFormat>
    <chartFormat chart="5" format="60">
      <pivotArea type="data" outline="0" fieldPosition="0">
        <references count="3">
          <reference field="4294967294" count="1" selected="0">
            <x v="0"/>
          </reference>
          <reference field="11" count="1" selected="0">
            <x v="10"/>
          </reference>
          <reference field="13" count="1" selected="0">
            <x v="3"/>
          </reference>
        </references>
      </pivotArea>
    </chartFormat>
    <chartFormat chart="5" format="61">
      <pivotArea type="data" outline="0" fieldPosition="0">
        <references count="3">
          <reference field="4294967294" count="1" selected="0">
            <x v="0"/>
          </reference>
          <reference field="11" count="1" selected="0">
            <x v="11"/>
          </reference>
          <reference field="13" count="1" selected="0">
            <x v="3"/>
          </reference>
        </references>
      </pivotArea>
    </chartFormat>
    <chartFormat chart="5" format="62">
      <pivotArea type="data" outline="0" fieldPosition="0">
        <references count="3">
          <reference field="4294967294" count="1" selected="0">
            <x v="0"/>
          </reference>
          <reference field="11" count="1" selected="0">
            <x v="12"/>
          </reference>
          <reference field="13" count="1" selected="0">
            <x v="3"/>
          </reference>
        </references>
      </pivotArea>
    </chartFormat>
    <chartFormat chart="5" format="63">
      <pivotArea type="data" outline="0" fieldPosition="0">
        <references count="3">
          <reference field="4294967294" count="1" selected="0">
            <x v="0"/>
          </reference>
          <reference field="11" count="1" selected="0">
            <x v="1"/>
          </reference>
          <reference field="13" count="1" selected="0">
            <x v="4"/>
          </reference>
        </references>
      </pivotArea>
    </chartFormat>
    <chartFormat chart="5" format="64">
      <pivotArea type="data" outline="0" fieldPosition="0">
        <references count="3">
          <reference field="4294967294" count="1" selected="0">
            <x v="0"/>
          </reference>
          <reference field="11" count="1" selected="0">
            <x v="2"/>
          </reference>
          <reference field="13" count="1" selected="0">
            <x v="4"/>
          </reference>
        </references>
      </pivotArea>
    </chartFormat>
    <chartFormat chart="5" format="65">
      <pivotArea type="data" outline="0" fieldPosition="0">
        <references count="3">
          <reference field="4294967294" count="1" selected="0">
            <x v="0"/>
          </reference>
          <reference field="11" count="1" selected="0">
            <x v="3"/>
          </reference>
          <reference field="13" count="1" selected="0">
            <x v="4"/>
          </reference>
        </references>
      </pivotArea>
    </chartFormat>
    <chartFormat chart="5" format="66">
      <pivotArea type="data" outline="0" fieldPosition="0">
        <references count="3">
          <reference field="4294967294" count="1" selected="0">
            <x v="0"/>
          </reference>
          <reference field="11" count="1" selected="0">
            <x v="4"/>
          </reference>
          <reference field="13" count="1" selected="0">
            <x v="4"/>
          </reference>
        </references>
      </pivotArea>
    </chartFormat>
    <chartFormat chart="5" format="67">
      <pivotArea type="data" outline="0" fieldPosition="0">
        <references count="3">
          <reference field="4294967294" count="1" selected="0">
            <x v="0"/>
          </reference>
          <reference field="11" count="1" selected="0">
            <x v="5"/>
          </reference>
          <reference field="13" count="1" selected="0">
            <x v="4"/>
          </reference>
        </references>
      </pivotArea>
    </chartFormat>
    <chartFormat chart="5" format="68">
      <pivotArea type="data" outline="0" fieldPosition="0">
        <references count="3">
          <reference field="4294967294" count="1" selected="0">
            <x v="0"/>
          </reference>
          <reference field="11" count="1" selected="0">
            <x v="6"/>
          </reference>
          <reference field="13" count="1" selected="0">
            <x v="4"/>
          </reference>
        </references>
      </pivotArea>
    </chartFormat>
    <chartFormat chart="1" format="23">
      <pivotArea type="data" outline="0" fieldPosition="0">
        <references count="3">
          <reference field="4294967294" count="1" selected="0">
            <x v="0"/>
          </reference>
          <reference field="11" count="1" selected="0">
            <x v="1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6FC7E0-ECC4-443F-9751-50B252AB8E7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showAll="0">
      <items count="117">
        <item x="113"/>
        <item x="111"/>
        <item x="112"/>
        <item x="114"/>
        <item x="115"/>
        <item x="0"/>
        <item x="1"/>
        <item x="2"/>
        <item x="3"/>
        <item x="4"/>
        <item x="5"/>
        <item x="6"/>
        <item x="7"/>
        <item x="8"/>
        <item x="9"/>
        <item x="10"/>
        <item x="11"/>
        <item x="12"/>
        <item x="99"/>
        <item x="13"/>
        <item x="14"/>
        <item x="15"/>
        <item x="16"/>
        <item x="17"/>
        <item x="18"/>
        <item x="19"/>
        <item x="98"/>
        <item x="20"/>
        <item x="21"/>
        <item x="22"/>
        <item x="23"/>
        <item x="24"/>
        <item x="25"/>
        <item x="26"/>
        <item x="27"/>
        <item x="28"/>
        <item x="29"/>
        <item x="30"/>
        <item x="31"/>
        <item x="97"/>
        <item x="32"/>
        <item x="33"/>
        <item x="34"/>
        <item x="35"/>
        <item x="36"/>
        <item x="37"/>
        <item x="38"/>
        <item x="39"/>
        <item x="40"/>
        <item x="41"/>
        <item x="42"/>
        <item x="43"/>
        <item x="44"/>
        <item x="45"/>
        <item x="46"/>
        <item x="47"/>
        <item x="48"/>
        <item x="49"/>
        <item x="50"/>
        <item x="51"/>
        <item x="52"/>
        <item x="53"/>
        <item x="54"/>
        <item x="55"/>
        <item x="106"/>
        <item x="56"/>
        <item x="57"/>
        <item x="58"/>
        <item x="59"/>
        <item x="60"/>
        <item x="61"/>
        <item x="62"/>
        <item x="63"/>
        <item x="64"/>
        <item x="65"/>
        <item x="66"/>
        <item x="67"/>
        <item x="68"/>
        <item x="69"/>
        <item x="70"/>
        <item x="71"/>
        <item x="72"/>
        <item x="84"/>
        <item x="102"/>
        <item x="73"/>
        <item x="74"/>
        <item x="75"/>
        <item x="76"/>
        <item x="77"/>
        <item x="78"/>
        <item x="95"/>
        <item x="79"/>
        <item x="96"/>
        <item x="80"/>
        <item x="81"/>
        <item x="82"/>
        <item x="83"/>
        <item x="100"/>
        <item x="101"/>
        <item x="86"/>
        <item x="87"/>
        <item x="105"/>
        <item x="88"/>
        <item x="107"/>
        <item x="89"/>
        <item x="104"/>
        <item x="90"/>
        <item x="109"/>
        <item x="108"/>
        <item x="91"/>
        <item x="93"/>
        <item x="85"/>
        <item x="94"/>
        <item x="110"/>
        <item x="92"/>
        <item x="103"/>
        <item t="default"/>
      </items>
    </pivotField>
    <pivotField showAll="0">
      <items count="5">
        <item x="2"/>
        <item x="0"/>
        <item x="3"/>
        <item x="1"/>
        <item t="default"/>
      </items>
    </pivotField>
    <pivotField showAll="0"/>
    <pivotField axis="axisRow" showAll="0">
      <items count="5">
        <item x="3"/>
        <item x="2"/>
        <item x="1"/>
        <item x="0"/>
        <item t="default"/>
      </items>
    </pivotField>
    <pivotField showAll="0"/>
    <pivotField showAll="0"/>
    <pivotField showAll="0">
      <items count="4">
        <item x="0"/>
        <item x="2"/>
        <item x="1"/>
        <item t="default"/>
      </items>
    </pivotField>
    <pivotField showAll="0"/>
    <pivotField showAll="0">
      <items count="4">
        <item x="2"/>
        <item x="0"/>
        <item x="1"/>
        <item t="default"/>
      </items>
    </pivotField>
    <pivotField dataField="1" numFmtId="1" showAll="0">
      <items count="119">
        <item x="98"/>
        <item x="94"/>
        <item x="104"/>
        <item x="100"/>
        <item x="108"/>
        <item x="101"/>
        <item x="102"/>
        <item x="96"/>
        <item x="107"/>
        <item x="111"/>
        <item x="97"/>
        <item x="116"/>
        <item x="112"/>
        <item x="113"/>
        <item x="117"/>
        <item x="114"/>
        <item x="99"/>
        <item x="93"/>
        <item x="105"/>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5"/>
        <item x="115"/>
        <item x="106"/>
        <item x="110"/>
        <item x="109"/>
        <item x="103"/>
        <item t="default"/>
      </items>
    </pivotField>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5C59B0-5765-48C8-BF70-B39EC9131652}" sourceName="Region">
  <pivotTables>
    <pivotTable tabId="13" name="PivotTable9"/>
    <pivotTable tabId="14" name="PivotTable10"/>
  </pivotTables>
  <data>
    <tabular pivotCacheId="171106507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3BB9D4-14BB-405D-9ED9-7650440B6ABE}" sourceName="Gender">
  <pivotTables>
    <pivotTable tabId="13" name="PivotTable9"/>
    <pivotTable tabId="14" name="PivotTable10"/>
  </pivotTables>
  <data>
    <tabular pivotCacheId="171106507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6FFF317E-37FD-46F0-9EBC-20231311B8C3}" sourceName="Age Groups">
  <pivotTables>
    <pivotTable tabId="13" name="PivotTable9"/>
    <pivotTable tabId="14" name="PivotTable10"/>
  </pivotTables>
  <data>
    <tabular pivotCacheId="171106507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_Date" xr10:uid="{61CB69FD-D9C7-4976-8ABC-389DD91B7AA7}" sourceName="Quarters (Production Date)">
  <pivotTables>
    <pivotTable tabId="13" name="PivotTable9"/>
    <pivotTable tabId="14" name="PivotTable10"/>
  </pivotTables>
  <data>
    <tabular pivotCacheId="171106507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E19897-7DE9-4497-9147-2ED858CC1966}" cache="Slicer_Region" caption="Region" rowHeight="241300"/>
  <slicer name="Gender" xr10:uid="{388416D7-842E-49C6-A10C-FA3019136353}" cache="Slicer_Gender" caption="Gender" rowHeight="241300"/>
  <slicer name="Age Groups" xr10:uid="{388E5C7B-FBAA-411B-8E83-4D665FDF8EA4}" cache="Slicer_Age_Groups" caption="Age Groups" rowHeight="241300"/>
  <slicer name="Quarters (Production Date)" xr10:uid="{C7E48823-28BD-46C9-9D17-D2DCBC0397E3}" cache="Slicer_Quarters__Production_Date" caption="Quarters (Production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5"/>
  <sheetViews>
    <sheetView topLeftCell="A128" zoomScale="85" zoomScaleNormal="85" workbookViewId="0">
      <selection activeCell="B100" sqref="B100"/>
    </sheetView>
  </sheetViews>
  <sheetFormatPr defaultRowHeight="14.5" x14ac:dyDescent="0.35"/>
  <cols>
    <col min="1" max="1" width="18.453125" customWidth="1"/>
    <col min="2" max="2" width="19.26953125" style="1" customWidth="1"/>
    <col min="3" max="3" width="17.81640625" customWidth="1"/>
    <col min="4" max="4" width="17.453125" customWidth="1"/>
    <col min="5" max="5" width="18.54296875" customWidth="1"/>
    <col min="6" max="6" width="15.81640625" customWidth="1"/>
    <col min="7" max="7" width="19.7265625" customWidth="1"/>
    <col min="8" max="8" width="16" customWidth="1"/>
    <col min="9" max="9" width="14.7265625" customWidth="1"/>
    <col min="10" max="10" width="18.26953125" customWidth="1"/>
    <col min="11" max="11" width="23" style="2" customWidth="1"/>
    <col min="13" max="13" width="32.453125" customWidth="1"/>
  </cols>
  <sheetData>
    <row r="1" spans="1:13" x14ac:dyDescent="0.35">
      <c r="A1" t="s">
        <v>22</v>
      </c>
      <c r="B1" s="1" t="s">
        <v>23</v>
      </c>
      <c r="C1" t="s">
        <v>0</v>
      </c>
      <c r="D1" t="s">
        <v>1</v>
      </c>
      <c r="E1" t="s">
        <v>24</v>
      </c>
      <c r="F1" t="s">
        <v>25</v>
      </c>
      <c r="G1" t="s">
        <v>26</v>
      </c>
      <c r="H1" t="s">
        <v>2</v>
      </c>
      <c r="I1" t="s">
        <v>28</v>
      </c>
      <c r="J1" t="s">
        <v>29</v>
      </c>
      <c r="K1" s="2" t="s">
        <v>30</v>
      </c>
    </row>
    <row r="2" spans="1:13" x14ac:dyDescent="0.35">
      <c r="A2">
        <v>1</v>
      </c>
      <c r="B2" s="6">
        <v>44932</v>
      </c>
      <c r="C2" t="s">
        <v>3</v>
      </c>
      <c r="D2" t="s">
        <v>4</v>
      </c>
      <c r="E2" t="s">
        <v>5</v>
      </c>
      <c r="F2">
        <v>53</v>
      </c>
      <c r="G2">
        <v>10500</v>
      </c>
      <c r="H2" t="s">
        <v>6</v>
      </c>
      <c r="I2">
        <v>39</v>
      </c>
      <c r="J2" t="str">
        <f t="shared" ref="J2:J33" si="0">IF(I2&lt;=38,"A1",IF(I2&lt;=41,"A2","A3"))</f>
        <v>A2</v>
      </c>
      <c r="K2" s="2">
        <f t="shared" ref="K2:K33" si="1">G2/F2</f>
        <v>198.11320754716982</v>
      </c>
      <c r="M2" t="str">
        <f>IF(ISNUMBER(A2), "Valid", "Invalid")</f>
        <v>Valid</v>
      </c>
    </row>
    <row r="3" spans="1:13" x14ac:dyDescent="0.35">
      <c r="A3">
        <v>2</v>
      </c>
      <c r="B3" s="6">
        <v>44937</v>
      </c>
      <c r="C3" t="s">
        <v>7</v>
      </c>
      <c r="D3" t="s">
        <v>8</v>
      </c>
      <c r="E3" t="s">
        <v>9</v>
      </c>
      <c r="F3">
        <v>56</v>
      </c>
      <c r="G3">
        <v>11000</v>
      </c>
      <c r="H3" t="s">
        <v>27</v>
      </c>
      <c r="I3">
        <v>40</v>
      </c>
      <c r="J3" t="str">
        <f t="shared" si="0"/>
        <v>A2</v>
      </c>
      <c r="K3" s="2">
        <f t="shared" si="1"/>
        <v>196.42857142857142</v>
      </c>
      <c r="M3" t="str">
        <f t="shared" ref="M3:M66" si="2">IF(ISNUMBER(A3), "Valid", "Invalid")</f>
        <v>Valid</v>
      </c>
    </row>
    <row r="4" spans="1:13" x14ac:dyDescent="0.35">
      <c r="A4">
        <v>3</v>
      </c>
      <c r="B4" s="6">
        <v>44942</v>
      </c>
      <c r="C4" t="s">
        <v>10</v>
      </c>
      <c r="D4" t="s">
        <v>11</v>
      </c>
      <c r="E4" t="s">
        <v>12</v>
      </c>
      <c r="F4">
        <v>59</v>
      </c>
      <c r="G4">
        <v>11500</v>
      </c>
      <c r="H4" t="s">
        <v>13</v>
      </c>
      <c r="I4">
        <v>41</v>
      </c>
      <c r="J4" t="str">
        <f t="shared" si="0"/>
        <v>A2</v>
      </c>
      <c r="K4" s="2">
        <f t="shared" si="1"/>
        <v>194.91525423728814</v>
      </c>
      <c r="M4" t="str">
        <f t="shared" si="2"/>
        <v>Valid</v>
      </c>
    </row>
    <row r="5" spans="1:13" x14ac:dyDescent="0.35">
      <c r="A5">
        <v>4</v>
      </c>
      <c r="B5" s="6">
        <v>44947</v>
      </c>
      <c r="C5" t="s">
        <v>14</v>
      </c>
      <c r="D5" t="s">
        <v>15</v>
      </c>
      <c r="E5" t="s">
        <v>16</v>
      </c>
      <c r="F5">
        <v>62</v>
      </c>
      <c r="G5">
        <v>12000</v>
      </c>
      <c r="H5" t="s">
        <v>6</v>
      </c>
      <c r="I5">
        <v>42</v>
      </c>
      <c r="J5" t="str">
        <f t="shared" si="0"/>
        <v>A3</v>
      </c>
      <c r="K5" s="2">
        <f t="shared" si="1"/>
        <v>193.54838709677421</v>
      </c>
      <c r="M5" t="str">
        <f t="shared" si="2"/>
        <v>Valid</v>
      </c>
    </row>
    <row r="6" spans="1:13" x14ac:dyDescent="0.35">
      <c r="A6">
        <v>5</v>
      </c>
      <c r="B6" s="6">
        <v>44952</v>
      </c>
      <c r="C6" t="s">
        <v>3</v>
      </c>
      <c r="D6" t="s">
        <v>17</v>
      </c>
      <c r="E6" t="s">
        <v>5</v>
      </c>
      <c r="F6">
        <v>65</v>
      </c>
      <c r="G6">
        <v>12500</v>
      </c>
      <c r="H6" t="s">
        <v>27</v>
      </c>
      <c r="I6">
        <v>43</v>
      </c>
      <c r="J6" t="str">
        <f t="shared" si="0"/>
        <v>A3</v>
      </c>
      <c r="K6" s="2">
        <f t="shared" si="1"/>
        <v>192.30769230769232</v>
      </c>
      <c r="M6" t="str">
        <f t="shared" si="2"/>
        <v>Valid</v>
      </c>
    </row>
    <row r="7" spans="1:13" x14ac:dyDescent="0.35">
      <c r="A7">
        <v>6</v>
      </c>
      <c r="B7" s="6">
        <v>44957</v>
      </c>
      <c r="C7" t="s">
        <v>7</v>
      </c>
      <c r="D7" t="s">
        <v>18</v>
      </c>
      <c r="E7" t="s">
        <v>9</v>
      </c>
      <c r="F7">
        <v>68</v>
      </c>
      <c r="G7">
        <v>13000</v>
      </c>
      <c r="H7" t="s">
        <v>13</v>
      </c>
      <c r="I7">
        <v>44</v>
      </c>
      <c r="J7" t="str">
        <f t="shared" si="0"/>
        <v>A3</v>
      </c>
      <c r="K7" s="2">
        <f t="shared" si="1"/>
        <v>191.1764705882353</v>
      </c>
      <c r="M7" t="str">
        <f t="shared" si="2"/>
        <v>Valid</v>
      </c>
    </row>
    <row r="8" spans="1:13" x14ac:dyDescent="0.35">
      <c r="A8">
        <v>7</v>
      </c>
      <c r="B8" s="6">
        <v>44962</v>
      </c>
      <c r="C8" t="s">
        <v>10</v>
      </c>
      <c r="D8" t="s">
        <v>19</v>
      </c>
      <c r="E8" t="s">
        <v>12</v>
      </c>
      <c r="F8">
        <v>71</v>
      </c>
      <c r="G8">
        <v>13500</v>
      </c>
      <c r="H8" t="s">
        <v>6</v>
      </c>
      <c r="I8">
        <v>37</v>
      </c>
      <c r="J8" t="str">
        <f t="shared" si="0"/>
        <v>A1</v>
      </c>
      <c r="K8" s="2">
        <f t="shared" si="1"/>
        <v>190.14084507042253</v>
      </c>
      <c r="M8" t="str">
        <f t="shared" si="2"/>
        <v>Valid</v>
      </c>
    </row>
    <row r="9" spans="1:13" x14ac:dyDescent="0.35">
      <c r="A9">
        <v>8</v>
      </c>
      <c r="B9" s="6">
        <v>44967</v>
      </c>
      <c r="C9" t="s">
        <v>14</v>
      </c>
      <c r="D9" t="s">
        <v>20</v>
      </c>
      <c r="E9" t="s">
        <v>16</v>
      </c>
      <c r="F9">
        <v>74</v>
      </c>
      <c r="G9">
        <v>14000</v>
      </c>
      <c r="H9" t="s">
        <v>27</v>
      </c>
      <c r="I9">
        <v>38</v>
      </c>
      <c r="J9" t="str">
        <f t="shared" si="0"/>
        <v>A1</v>
      </c>
      <c r="K9" s="2">
        <f t="shared" si="1"/>
        <v>189.18918918918919</v>
      </c>
      <c r="M9" t="str">
        <f t="shared" si="2"/>
        <v>Valid</v>
      </c>
    </row>
    <row r="10" spans="1:13" x14ac:dyDescent="0.35">
      <c r="A10">
        <v>9</v>
      </c>
      <c r="B10" s="6">
        <v>44972</v>
      </c>
      <c r="C10" t="s">
        <v>3</v>
      </c>
      <c r="D10" t="s">
        <v>4</v>
      </c>
      <c r="E10" t="s">
        <v>5</v>
      </c>
      <c r="F10">
        <v>77</v>
      </c>
      <c r="G10">
        <v>14500</v>
      </c>
      <c r="H10" t="s">
        <v>13</v>
      </c>
      <c r="I10">
        <v>39</v>
      </c>
      <c r="J10" t="str">
        <f t="shared" si="0"/>
        <v>A2</v>
      </c>
      <c r="K10" s="2">
        <f t="shared" si="1"/>
        <v>188.3116883116883</v>
      </c>
      <c r="M10" t="str">
        <f t="shared" si="2"/>
        <v>Valid</v>
      </c>
    </row>
    <row r="11" spans="1:13" x14ac:dyDescent="0.35">
      <c r="A11">
        <v>10</v>
      </c>
      <c r="B11" s="6">
        <v>44977</v>
      </c>
      <c r="C11" t="s">
        <v>7</v>
      </c>
      <c r="D11" t="s">
        <v>8</v>
      </c>
      <c r="E11" t="s">
        <v>9</v>
      </c>
      <c r="F11">
        <v>80</v>
      </c>
      <c r="G11">
        <v>15000</v>
      </c>
      <c r="H11" t="s">
        <v>6</v>
      </c>
      <c r="I11">
        <v>40</v>
      </c>
      <c r="J11" t="str">
        <f t="shared" si="0"/>
        <v>A2</v>
      </c>
      <c r="K11" s="2">
        <f t="shared" si="1"/>
        <v>187.5</v>
      </c>
      <c r="M11" t="str">
        <f t="shared" si="2"/>
        <v>Valid</v>
      </c>
    </row>
    <row r="12" spans="1:13" x14ac:dyDescent="0.35">
      <c r="A12">
        <v>11</v>
      </c>
      <c r="B12" s="6">
        <v>44982</v>
      </c>
      <c r="C12" t="s">
        <v>10</v>
      </c>
      <c r="D12" t="s">
        <v>11</v>
      </c>
      <c r="E12" t="s">
        <v>12</v>
      </c>
      <c r="F12">
        <v>83</v>
      </c>
      <c r="G12">
        <v>15500</v>
      </c>
      <c r="H12" t="s">
        <v>27</v>
      </c>
      <c r="I12">
        <v>41</v>
      </c>
      <c r="J12" t="str">
        <f t="shared" si="0"/>
        <v>A2</v>
      </c>
      <c r="K12" s="2">
        <f t="shared" si="1"/>
        <v>186.74698795180723</v>
      </c>
      <c r="M12" t="str">
        <f t="shared" si="2"/>
        <v>Valid</v>
      </c>
    </row>
    <row r="13" spans="1:13" x14ac:dyDescent="0.35">
      <c r="A13">
        <v>12</v>
      </c>
      <c r="B13" s="6">
        <v>44987</v>
      </c>
      <c r="C13" t="s">
        <v>14</v>
      </c>
      <c r="D13" t="s">
        <v>15</v>
      </c>
      <c r="E13" t="s">
        <v>16</v>
      </c>
      <c r="F13">
        <v>86</v>
      </c>
      <c r="G13">
        <v>16000</v>
      </c>
      <c r="H13" t="s">
        <v>13</v>
      </c>
      <c r="I13">
        <v>42</v>
      </c>
      <c r="J13" t="str">
        <f t="shared" si="0"/>
        <v>A3</v>
      </c>
      <c r="K13" s="2">
        <f t="shared" si="1"/>
        <v>186.04651162790697</v>
      </c>
      <c r="M13" t="str">
        <f t="shared" si="2"/>
        <v>Valid</v>
      </c>
    </row>
    <row r="14" spans="1:13" x14ac:dyDescent="0.35">
      <c r="A14">
        <v>13</v>
      </c>
      <c r="B14" s="6">
        <v>44992</v>
      </c>
      <c r="C14" t="s">
        <v>3</v>
      </c>
      <c r="D14" t="s">
        <v>17</v>
      </c>
      <c r="E14" t="s">
        <v>5</v>
      </c>
      <c r="F14">
        <v>89</v>
      </c>
      <c r="G14">
        <v>16500</v>
      </c>
      <c r="H14" t="s">
        <v>6</v>
      </c>
      <c r="I14">
        <v>43</v>
      </c>
      <c r="J14" t="str">
        <f t="shared" si="0"/>
        <v>A3</v>
      </c>
      <c r="K14" s="2">
        <f t="shared" si="1"/>
        <v>185.3932584269663</v>
      </c>
      <c r="M14" t="str">
        <f t="shared" si="2"/>
        <v>Valid</v>
      </c>
    </row>
    <row r="15" spans="1:13" x14ac:dyDescent="0.35">
      <c r="A15">
        <v>14</v>
      </c>
      <c r="B15" s="6">
        <v>44997</v>
      </c>
      <c r="C15" t="s">
        <v>7</v>
      </c>
      <c r="D15" t="s">
        <v>18</v>
      </c>
      <c r="E15" t="s">
        <v>9</v>
      </c>
      <c r="F15">
        <v>92</v>
      </c>
      <c r="G15">
        <v>17000</v>
      </c>
      <c r="H15" t="s">
        <v>27</v>
      </c>
      <c r="I15">
        <v>44</v>
      </c>
      <c r="J15" t="str">
        <f t="shared" si="0"/>
        <v>A3</v>
      </c>
      <c r="K15" s="2">
        <f t="shared" si="1"/>
        <v>184.78260869565219</v>
      </c>
      <c r="M15" t="str">
        <f t="shared" si="2"/>
        <v>Valid</v>
      </c>
    </row>
    <row r="16" spans="1:13" x14ac:dyDescent="0.35">
      <c r="A16">
        <v>15</v>
      </c>
      <c r="B16" s="6">
        <v>45002</v>
      </c>
      <c r="C16" t="s">
        <v>10</v>
      </c>
      <c r="D16" t="s">
        <v>19</v>
      </c>
      <c r="E16" t="s">
        <v>12</v>
      </c>
      <c r="F16">
        <v>95</v>
      </c>
      <c r="G16">
        <v>17500</v>
      </c>
      <c r="H16" t="s">
        <v>13</v>
      </c>
      <c r="I16">
        <v>37</v>
      </c>
      <c r="J16" t="str">
        <f t="shared" si="0"/>
        <v>A1</v>
      </c>
      <c r="K16" s="2">
        <f t="shared" si="1"/>
        <v>184.21052631578948</v>
      </c>
      <c r="M16" t="str">
        <f t="shared" si="2"/>
        <v>Valid</v>
      </c>
    </row>
    <row r="17" spans="1:13" x14ac:dyDescent="0.35">
      <c r="A17">
        <v>16</v>
      </c>
      <c r="B17" s="6">
        <v>45007</v>
      </c>
      <c r="C17" t="s">
        <v>14</v>
      </c>
      <c r="D17" t="s">
        <v>20</v>
      </c>
      <c r="E17" t="s">
        <v>16</v>
      </c>
      <c r="F17">
        <v>98</v>
      </c>
      <c r="G17">
        <v>18000</v>
      </c>
      <c r="H17" t="s">
        <v>6</v>
      </c>
      <c r="I17">
        <v>38</v>
      </c>
      <c r="J17" t="str">
        <f t="shared" si="0"/>
        <v>A1</v>
      </c>
      <c r="K17" s="2">
        <f t="shared" si="1"/>
        <v>183.67346938775509</v>
      </c>
      <c r="M17" t="str">
        <f t="shared" si="2"/>
        <v>Valid</v>
      </c>
    </row>
    <row r="18" spans="1:13" x14ac:dyDescent="0.35">
      <c r="A18">
        <v>17</v>
      </c>
      <c r="B18" s="6">
        <v>45012</v>
      </c>
      <c r="C18" t="s">
        <v>3</v>
      </c>
      <c r="D18" t="s">
        <v>4</v>
      </c>
      <c r="E18" t="s">
        <v>5</v>
      </c>
      <c r="F18">
        <v>101</v>
      </c>
      <c r="G18">
        <v>18500</v>
      </c>
      <c r="H18" t="s">
        <v>27</v>
      </c>
      <c r="I18">
        <v>39</v>
      </c>
      <c r="J18" t="str">
        <f t="shared" si="0"/>
        <v>A2</v>
      </c>
      <c r="K18" s="2">
        <f t="shared" si="1"/>
        <v>183.16831683168317</v>
      </c>
      <c r="M18" t="str">
        <f t="shared" si="2"/>
        <v>Valid</v>
      </c>
    </row>
    <row r="19" spans="1:13" x14ac:dyDescent="0.35">
      <c r="A19">
        <v>18</v>
      </c>
      <c r="B19" s="6">
        <v>45017</v>
      </c>
      <c r="C19" t="s">
        <v>7</v>
      </c>
      <c r="D19" t="s">
        <v>8</v>
      </c>
      <c r="E19" t="s">
        <v>9</v>
      </c>
      <c r="F19">
        <v>104</v>
      </c>
      <c r="G19">
        <v>19000</v>
      </c>
      <c r="H19" t="s">
        <v>13</v>
      </c>
      <c r="I19">
        <v>40</v>
      </c>
      <c r="J19" t="str">
        <f t="shared" si="0"/>
        <v>A2</v>
      </c>
      <c r="K19" s="2">
        <f t="shared" si="1"/>
        <v>182.69230769230768</v>
      </c>
      <c r="M19" t="str">
        <f t="shared" si="2"/>
        <v>Valid</v>
      </c>
    </row>
    <row r="20" spans="1:13" x14ac:dyDescent="0.35">
      <c r="A20">
        <v>19</v>
      </c>
      <c r="B20" s="6">
        <v>45022</v>
      </c>
      <c r="C20" t="s">
        <v>10</v>
      </c>
      <c r="D20" t="s">
        <v>11</v>
      </c>
      <c r="E20" t="s">
        <v>12</v>
      </c>
      <c r="F20">
        <v>107</v>
      </c>
      <c r="G20">
        <v>19500</v>
      </c>
      <c r="H20" t="s">
        <v>6</v>
      </c>
      <c r="I20">
        <v>41</v>
      </c>
      <c r="J20" t="str">
        <f t="shared" si="0"/>
        <v>A2</v>
      </c>
      <c r="K20" s="2">
        <f t="shared" si="1"/>
        <v>182.24299065420561</v>
      </c>
      <c r="M20" t="str">
        <f t="shared" si="2"/>
        <v>Valid</v>
      </c>
    </row>
    <row r="21" spans="1:13" x14ac:dyDescent="0.35">
      <c r="A21">
        <v>20</v>
      </c>
      <c r="B21" s="6">
        <v>45027</v>
      </c>
      <c r="C21" t="s">
        <v>14</v>
      </c>
      <c r="D21" t="s">
        <v>15</v>
      </c>
      <c r="E21" t="s">
        <v>16</v>
      </c>
      <c r="F21">
        <v>110</v>
      </c>
      <c r="G21">
        <v>20000</v>
      </c>
      <c r="H21" t="s">
        <v>27</v>
      </c>
      <c r="I21">
        <v>42</v>
      </c>
      <c r="J21" t="str">
        <f t="shared" si="0"/>
        <v>A3</v>
      </c>
      <c r="K21" s="2">
        <f t="shared" si="1"/>
        <v>181.81818181818181</v>
      </c>
      <c r="M21" t="str">
        <f t="shared" si="2"/>
        <v>Valid</v>
      </c>
    </row>
    <row r="22" spans="1:13" x14ac:dyDescent="0.35">
      <c r="A22">
        <v>21</v>
      </c>
      <c r="B22" s="6">
        <v>45032</v>
      </c>
      <c r="C22" t="s">
        <v>3</v>
      </c>
      <c r="D22" t="s">
        <v>17</v>
      </c>
      <c r="E22" t="s">
        <v>5</v>
      </c>
      <c r="F22">
        <v>113</v>
      </c>
      <c r="G22">
        <v>20500</v>
      </c>
      <c r="H22" t="s">
        <v>13</v>
      </c>
      <c r="I22">
        <v>43</v>
      </c>
      <c r="J22" t="str">
        <f t="shared" si="0"/>
        <v>A3</v>
      </c>
      <c r="K22" s="2">
        <f t="shared" si="1"/>
        <v>181.41592920353983</v>
      </c>
      <c r="M22" t="str">
        <f t="shared" si="2"/>
        <v>Valid</v>
      </c>
    </row>
    <row r="23" spans="1:13" x14ac:dyDescent="0.35">
      <c r="A23">
        <v>22</v>
      </c>
      <c r="B23" s="6">
        <v>45037</v>
      </c>
      <c r="C23" t="s">
        <v>7</v>
      </c>
      <c r="D23" t="s">
        <v>18</v>
      </c>
      <c r="E23" t="s">
        <v>9</v>
      </c>
      <c r="F23">
        <v>116</v>
      </c>
      <c r="G23">
        <v>21000</v>
      </c>
      <c r="H23" t="s">
        <v>6</v>
      </c>
      <c r="I23">
        <v>44</v>
      </c>
      <c r="J23" t="str">
        <f t="shared" si="0"/>
        <v>A3</v>
      </c>
      <c r="K23" s="2">
        <f t="shared" si="1"/>
        <v>181.0344827586207</v>
      </c>
      <c r="M23" t="str">
        <f t="shared" si="2"/>
        <v>Valid</v>
      </c>
    </row>
    <row r="24" spans="1:13" x14ac:dyDescent="0.35">
      <c r="A24">
        <v>23</v>
      </c>
      <c r="B24" s="6">
        <v>45042</v>
      </c>
      <c r="C24" t="s">
        <v>10</v>
      </c>
      <c r="D24" t="s">
        <v>19</v>
      </c>
      <c r="E24" t="s">
        <v>12</v>
      </c>
      <c r="F24">
        <v>119</v>
      </c>
      <c r="G24">
        <v>21500</v>
      </c>
      <c r="H24" t="s">
        <v>27</v>
      </c>
      <c r="I24">
        <v>37</v>
      </c>
      <c r="J24" t="str">
        <f t="shared" si="0"/>
        <v>A1</v>
      </c>
      <c r="K24" s="2">
        <f t="shared" si="1"/>
        <v>180.67226890756302</v>
      </c>
      <c r="M24" t="str">
        <f t="shared" si="2"/>
        <v>Valid</v>
      </c>
    </row>
    <row r="25" spans="1:13" x14ac:dyDescent="0.35">
      <c r="A25">
        <v>24</v>
      </c>
      <c r="B25" s="6">
        <v>45047</v>
      </c>
      <c r="C25" t="s">
        <v>14</v>
      </c>
      <c r="D25" t="s">
        <v>20</v>
      </c>
      <c r="E25" t="s">
        <v>16</v>
      </c>
      <c r="F25">
        <v>122</v>
      </c>
      <c r="G25">
        <v>22000</v>
      </c>
      <c r="H25" t="s">
        <v>13</v>
      </c>
      <c r="I25">
        <v>38</v>
      </c>
      <c r="J25" t="str">
        <f t="shared" si="0"/>
        <v>A1</v>
      </c>
      <c r="K25" s="2">
        <f t="shared" si="1"/>
        <v>180.32786885245901</v>
      </c>
      <c r="M25" t="str">
        <f t="shared" si="2"/>
        <v>Valid</v>
      </c>
    </row>
    <row r="26" spans="1:13" x14ac:dyDescent="0.35">
      <c r="A26">
        <v>25</v>
      </c>
      <c r="B26" s="6">
        <v>45052</v>
      </c>
      <c r="C26" t="s">
        <v>3</v>
      </c>
      <c r="D26" t="s">
        <v>4</v>
      </c>
      <c r="E26" t="s">
        <v>5</v>
      </c>
      <c r="F26">
        <v>125</v>
      </c>
      <c r="G26">
        <v>22500</v>
      </c>
      <c r="H26" t="s">
        <v>6</v>
      </c>
      <c r="I26">
        <v>39</v>
      </c>
      <c r="J26" t="str">
        <f t="shared" si="0"/>
        <v>A2</v>
      </c>
      <c r="K26" s="2">
        <f t="shared" si="1"/>
        <v>180</v>
      </c>
      <c r="M26" t="str">
        <f t="shared" si="2"/>
        <v>Valid</v>
      </c>
    </row>
    <row r="27" spans="1:13" x14ac:dyDescent="0.35">
      <c r="A27">
        <v>26</v>
      </c>
      <c r="B27" s="6">
        <v>45057</v>
      </c>
      <c r="C27" t="s">
        <v>7</v>
      </c>
      <c r="D27" t="s">
        <v>8</v>
      </c>
      <c r="E27" t="s">
        <v>9</v>
      </c>
      <c r="F27">
        <v>128</v>
      </c>
      <c r="G27">
        <v>23000</v>
      </c>
      <c r="H27" t="s">
        <v>27</v>
      </c>
      <c r="I27">
        <v>40</v>
      </c>
      <c r="J27" t="str">
        <f t="shared" si="0"/>
        <v>A2</v>
      </c>
      <c r="K27" s="2">
        <f t="shared" si="1"/>
        <v>179.6875</v>
      </c>
      <c r="M27" t="str">
        <f t="shared" si="2"/>
        <v>Valid</v>
      </c>
    </row>
    <row r="28" spans="1:13" x14ac:dyDescent="0.35">
      <c r="A28">
        <v>27</v>
      </c>
      <c r="B28" s="6">
        <v>45062</v>
      </c>
      <c r="C28" t="s">
        <v>10</v>
      </c>
      <c r="D28" t="s">
        <v>11</v>
      </c>
      <c r="E28" t="s">
        <v>12</v>
      </c>
      <c r="F28">
        <v>131</v>
      </c>
      <c r="G28">
        <v>23500</v>
      </c>
      <c r="H28" t="s">
        <v>13</v>
      </c>
      <c r="I28">
        <v>41</v>
      </c>
      <c r="J28" t="str">
        <f t="shared" si="0"/>
        <v>A2</v>
      </c>
      <c r="K28" s="2">
        <f t="shared" si="1"/>
        <v>179.38931297709922</v>
      </c>
      <c r="M28" t="str">
        <f>IF(ISNUMBER(A28), "Valid", "Invalid")</f>
        <v>Valid</v>
      </c>
    </row>
    <row r="29" spans="1:13" x14ac:dyDescent="0.35">
      <c r="A29">
        <v>28</v>
      </c>
      <c r="B29" s="6">
        <v>45067</v>
      </c>
      <c r="C29" t="s">
        <v>14</v>
      </c>
      <c r="D29" t="s">
        <v>15</v>
      </c>
      <c r="E29" t="s">
        <v>16</v>
      </c>
      <c r="F29">
        <v>134</v>
      </c>
      <c r="G29">
        <v>24000</v>
      </c>
      <c r="H29" t="s">
        <v>6</v>
      </c>
      <c r="I29">
        <v>42</v>
      </c>
      <c r="J29" t="str">
        <f t="shared" si="0"/>
        <v>A3</v>
      </c>
      <c r="K29" s="2">
        <f t="shared" si="1"/>
        <v>179.1044776119403</v>
      </c>
      <c r="M29" t="str">
        <f t="shared" si="2"/>
        <v>Valid</v>
      </c>
    </row>
    <row r="30" spans="1:13" x14ac:dyDescent="0.35">
      <c r="A30">
        <v>29</v>
      </c>
      <c r="B30" s="6">
        <v>45072</v>
      </c>
      <c r="C30" t="s">
        <v>3</v>
      </c>
      <c r="D30" t="s">
        <v>17</v>
      </c>
      <c r="E30" t="s">
        <v>5</v>
      </c>
      <c r="F30">
        <v>137</v>
      </c>
      <c r="G30">
        <v>24500</v>
      </c>
      <c r="H30" t="s">
        <v>27</v>
      </c>
      <c r="I30">
        <v>43</v>
      </c>
      <c r="J30" t="str">
        <f t="shared" si="0"/>
        <v>A3</v>
      </c>
      <c r="K30" s="2">
        <f t="shared" si="1"/>
        <v>178.83211678832117</v>
      </c>
      <c r="M30" t="str">
        <f t="shared" si="2"/>
        <v>Valid</v>
      </c>
    </row>
    <row r="31" spans="1:13" x14ac:dyDescent="0.35">
      <c r="A31">
        <v>30</v>
      </c>
      <c r="B31" s="6">
        <v>45077</v>
      </c>
      <c r="C31" t="s">
        <v>7</v>
      </c>
      <c r="D31" t="s">
        <v>18</v>
      </c>
      <c r="E31" t="s">
        <v>9</v>
      </c>
      <c r="F31">
        <v>140</v>
      </c>
      <c r="G31">
        <v>25000</v>
      </c>
      <c r="H31" t="s">
        <v>13</v>
      </c>
      <c r="I31">
        <v>44</v>
      </c>
      <c r="J31" t="str">
        <f t="shared" si="0"/>
        <v>A3</v>
      </c>
      <c r="K31" s="2">
        <f t="shared" si="1"/>
        <v>178.57142857142858</v>
      </c>
      <c r="M31" t="str">
        <f t="shared" si="2"/>
        <v>Valid</v>
      </c>
    </row>
    <row r="32" spans="1:13" x14ac:dyDescent="0.35">
      <c r="A32">
        <v>31</v>
      </c>
      <c r="B32" s="6">
        <v>45082</v>
      </c>
      <c r="C32" t="s">
        <v>10</v>
      </c>
      <c r="D32" t="s">
        <v>19</v>
      </c>
      <c r="E32" t="s">
        <v>12</v>
      </c>
      <c r="F32">
        <v>143</v>
      </c>
      <c r="G32">
        <v>25500</v>
      </c>
      <c r="H32" t="s">
        <v>6</v>
      </c>
      <c r="I32">
        <v>37</v>
      </c>
      <c r="J32" t="str">
        <f t="shared" si="0"/>
        <v>A1</v>
      </c>
      <c r="K32" s="2">
        <f t="shared" si="1"/>
        <v>178.32167832167832</v>
      </c>
      <c r="M32" t="str">
        <f t="shared" si="2"/>
        <v>Valid</v>
      </c>
    </row>
    <row r="33" spans="1:13" x14ac:dyDescent="0.35">
      <c r="A33">
        <v>32</v>
      </c>
      <c r="B33" s="6">
        <v>45087</v>
      </c>
      <c r="C33" t="s">
        <v>14</v>
      </c>
      <c r="D33" t="s">
        <v>20</v>
      </c>
      <c r="E33" t="s">
        <v>16</v>
      </c>
      <c r="F33">
        <v>146</v>
      </c>
      <c r="G33">
        <v>26000</v>
      </c>
      <c r="H33" t="s">
        <v>27</v>
      </c>
      <c r="I33">
        <v>38</v>
      </c>
      <c r="J33" t="str">
        <f t="shared" si="0"/>
        <v>A1</v>
      </c>
      <c r="K33" s="2">
        <f t="shared" si="1"/>
        <v>178.08219178082192</v>
      </c>
      <c r="M33" t="str">
        <f t="shared" si="2"/>
        <v>Valid</v>
      </c>
    </row>
    <row r="34" spans="1:13" x14ac:dyDescent="0.35">
      <c r="A34">
        <v>33</v>
      </c>
      <c r="B34" s="6">
        <v>45092</v>
      </c>
      <c r="C34" t="s">
        <v>3</v>
      </c>
      <c r="D34" t="s">
        <v>4</v>
      </c>
      <c r="E34" t="s">
        <v>5</v>
      </c>
      <c r="F34">
        <v>149</v>
      </c>
      <c r="G34">
        <v>26500</v>
      </c>
      <c r="H34" t="s">
        <v>13</v>
      </c>
      <c r="I34">
        <v>39</v>
      </c>
      <c r="J34" t="str">
        <f t="shared" ref="J34:J65" si="3">IF(I34&lt;=38,"A1",IF(I34&lt;=41,"A2","A3"))</f>
        <v>A2</v>
      </c>
      <c r="K34" s="2">
        <f t="shared" ref="K34:K65" si="4">G34/F34</f>
        <v>177.85234899328859</v>
      </c>
      <c r="M34" t="str">
        <f t="shared" si="2"/>
        <v>Valid</v>
      </c>
    </row>
    <row r="35" spans="1:13" x14ac:dyDescent="0.35">
      <c r="A35">
        <v>34</v>
      </c>
      <c r="B35" s="6">
        <v>45097</v>
      </c>
      <c r="C35" t="s">
        <v>7</v>
      </c>
      <c r="D35" t="s">
        <v>8</v>
      </c>
      <c r="E35" t="s">
        <v>9</v>
      </c>
      <c r="F35">
        <v>152</v>
      </c>
      <c r="G35">
        <v>27000</v>
      </c>
      <c r="H35" t="s">
        <v>6</v>
      </c>
      <c r="I35">
        <v>40</v>
      </c>
      <c r="J35" t="str">
        <f t="shared" si="3"/>
        <v>A2</v>
      </c>
      <c r="K35" s="2">
        <f t="shared" si="4"/>
        <v>177.63157894736841</v>
      </c>
      <c r="M35" t="str">
        <f t="shared" si="2"/>
        <v>Valid</v>
      </c>
    </row>
    <row r="36" spans="1:13" x14ac:dyDescent="0.35">
      <c r="A36">
        <v>35</v>
      </c>
      <c r="B36" s="6">
        <v>45102</v>
      </c>
      <c r="C36" t="s">
        <v>10</v>
      </c>
      <c r="D36" t="s">
        <v>11</v>
      </c>
      <c r="E36" t="s">
        <v>12</v>
      </c>
      <c r="F36">
        <v>155</v>
      </c>
      <c r="G36">
        <v>27500</v>
      </c>
      <c r="H36" t="s">
        <v>27</v>
      </c>
      <c r="I36">
        <v>41</v>
      </c>
      <c r="J36" t="str">
        <f t="shared" si="3"/>
        <v>A2</v>
      </c>
      <c r="K36" s="2">
        <f t="shared" si="4"/>
        <v>177.41935483870967</v>
      </c>
      <c r="M36" t="str">
        <f t="shared" si="2"/>
        <v>Valid</v>
      </c>
    </row>
    <row r="37" spans="1:13" x14ac:dyDescent="0.35">
      <c r="A37">
        <v>36</v>
      </c>
      <c r="B37" s="6">
        <v>45107</v>
      </c>
      <c r="C37" t="s">
        <v>14</v>
      </c>
      <c r="D37" t="s">
        <v>15</v>
      </c>
      <c r="E37" t="s">
        <v>16</v>
      </c>
      <c r="F37">
        <v>158</v>
      </c>
      <c r="G37">
        <v>28000</v>
      </c>
      <c r="H37" t="s">
        <v>13</v>
      </c>
      <c r="I37">
        <v>42</v>
      </c>
      <c r="J37" t="str">
        <f t="shared" si="3"/>
        <v>A3</v>
      </c>
      <c r="K37" s="2">
        <f t="shared" si="4"/>
        <v>177.21518987341773</v>
      </c>
      <c r="M37" t="str">
        <f t="shared" si="2"/>
        <v>Valid</v>
      </c>
    </row>
    <row r="38" spans="1:13" x14ac:dyDescent="0.35">
      <c r="A38">
        <v>37</v>
      </c>
      <c r="B38" s="6">
        <v>45112</v>
      </c>
      <c r="C38" t="s">
        <v>3</v>
      </c>
      <c r="D38" t="s">
        <v>17</v>
      </c>
      <c r="E38" t="s">
        <v>5</v>
      </c>
      <c r="F38">
        <v>161</v>
      </c>
      <c r="G38">
        <v>28500</v>
      </c>
      <c r="H38" t="s">
        <v>6</v>
      </c>
      <c r="I38">
        <v>43</v>
      </c>
      <c r="J38" t="str">
        <f t="shared" si="3"/>
        <v>A3</v>
      </c>
      <c r="K38" s="2">
        <f t="shared" si="4"/>
        <v>177.01863354037266</v>
      </c>
      <c r="M38" t="str">
        <f t="shared" si="2"/>
        <v>Valid</v>
      </c>
    </row>
    <row r="39" spans="1:13" x14ac:dyDescent="0.35">
      <c r="A39">
        <v>38</v>
      </c>
      <c r="B39" s="6">
        <v>45117</v>
      </c>
      <c r="C39" t="s">
        <v>7</v>
      </c>
      <c r="D39" t="s">
        <v>18</v>
      </c>
      <c r="E39" t="s">
        <v>9</v>
      </c>
      <c r="F39">
        <v>164</v>
      </c>
      <c r="G39">
        <v>29000</v>
      </c>
      <c r="H39" t="s">
        <v>27</v>
      </c>
      <c r="I39">
        <v>44</v>
      </c>
      <c r="J39" t="str">
        <f t="shared" si="3"/>
        <v>A3</v>
      </c>
      <c r="K39" s="2">
        <f t="shared" si="4"/>
        <v>176.82926829268294</v>
      </c>
      <c r="M39" t="str">
        <f t="shared" si="2"/>
        <v>Valid</v>
      </c>
    </row>
    <row r="40" spans="1:13" x14ac:dyDescent="0.35">
      <c r="A40">
        <v>39</v>
      </c>
      <c r="B40" s="6">
        <v>45122</v>
      </c>
      <c r="C40" t="s">
        <v>10</v>
      </c>
      <c r="D40" t="s">
        <v>19</v>
      </c>
      <c r="E40" t="s">
        <v>12</v>
      </c>
      <c r="F40">
        <v>167</v>
      </c>
      <c r="G40">
        <v>29500</v>
      </c>
      <c r="H40" t="s">
        <v>13</v>
      </c>
      <c r="I40">
        <v>37</v>
      </c>
      <c r="J40" t="str">
        <f t="shared" si="3"/>
        <v>A1</v>
      </c>
      <c r="K40" s="2">
        <f t="shared" si="4"/>
        <v>176.64670658682635</v>
      </c>
      <c r="M40" t="str">
        <f t="shared" si="2"/>
        <v>Valid</v>
      </c>
    </row>
    <row r="41" spans="1:13" x14ac:dyDescent="0.35">
      <c r="A41">
        <v>40</v>
      </c>
      <c r="B41" s="6">
        <v>45127</v>
      </c>
      <c r="C41" t="s">
        <v>14</v>
      </c>
      <c r="D41" t="s">
        <v>20</v>
      </c>
      <c r="E41" t="s">
        <v>16</v>
      </c>
      <c r="F41">
        <v>170</v>
      </c>
      <c r="G41">
        <v>30000</v>
      </c>
      <c r="H41" t="s">
        <v>6</v>
      </c>
      <c r="I41">
        <v>38</v>
      </c>
      <c r="J41" t="str">
        <f t="shared" si="3"/>
        <v>A1</v>
      </c>
      <c r="K41" s="2">
        <f t="shared" si="4"/>
        <v>176.47058823529412</v>
      </c>
      <c r="M41" t="str">
        <f t="shared" si="2"/>
        <v>Valid</v>
      </c>
    </row>
    <row r="42" spans="1:13" x14ac:dyDescent="0.35">
      <c r="A42">
        <v>41</v>
      </c>
      <c r="B42" s="6">
        <v>45132</v>
      </c>
      <c r="C42" t="s">
        <v>3</v>
      </c>
      <c r="D42" t="s">
        <v>4</v>
      </c>
      <c r="E42" t="s">
        <v>5</v>
      </c>
      <c r="F42">
        <v>173</v>
      </c>
      <c r="G42">
        <v>30500</v>
      </c>
      <c r="H42" t="s">
        <v>27</v>
      </c>
      <c r="I42">
        <v>39</v>
      </c>
      <c r="J42" t="str">
        <f t="shared" si="3"/>
        <v>A2</v>
      </c>
      <c r="K42" s="2">
        <f t="shared" si="4"/>
        <v>176.30057803468208</v>
      </c>
      <c r="M42" t="str">
        <f t="shared" si="2"/>
        <v>Valid</v>
      </c>
    </row>
    <row r="43" spans="1:13" x14ac:dyDescent="0.35">
      <c r="A43">
        <v>42</v>
      </c>
      <c r="B43" s="6">
        <v>45137</v>
      </c>
      <c r="C43" t="s">
        <v>7</v>
      </c>
      <c r="D43" t="s">
        <v>8</v>
      </c>
      <c r="E43" t="s">
        <v>9</v>
      </c>
      <c r="F43">
        <v>176</v>
      </c>
      <c r="G43">
        <v>31000</v>
      </c>
      <c r="H43" t="s">
        <v>13</v>
      </c>
      <c r="I43">
        <v>40</v>
      </c>
      <c r="J43" t="str">
        <f t="shared" si="3"/>
        <v>A2</v>
      </c>
      <c r="K43" s="2">
        <f t="shared" si="4"/>
        <v>176.13636363636363</v>
      </c>
      <c r="M43" t="str">
        <f t="shared" si="2"/>
        <v>Valid</v>
      </c>
    </row>
    <row r="44" spans="1:13" x14ac:dyDescent="0.35">
      <c r="A44">
        <v>43</v>
      </c>
      <c r="B44" s="6">
        <v>45142</v>
      </c>
      <c r="C44" t="s">
        <v>10</v>
      </c>
      <c r="D44" t="s">
        <v>11</v>
      </c>
      <c r="E44" t="s">
        <v>12</v>
      </c>
      <c r="F44">
        <v>179</v>
      </c>
      <c r="G44">
        <v>31500</v>
      </c>
      <c r="H44" t="s">
        <v>6</v>
      </c>
      <c r="I44">
        <v>41</v>
      </c>
      <c r="J44" t="str">
        <f t="shared" si="3"/>
        <v>A2</v>
      </c>
      <c r="K44" s="2">
        <f t="shared" si="4"/>
        <v>175.97765363128491</v>
      </c>
      <c r="M44" t="str">
        <f t="shared" si="2"/>
        <v>Valid</v>
      </c>
    </row>
    <row r="45" spans="1:13" x14ac:dyDescent="0.35">
      <c r="A45">
        <v>44</v>
      </c>
      <c r="B45" s="6">
        <v>45147</v>
      </c>
      <c r="C45" t="s">
        <v>14</v>
      </c>
      <c r="D45" t="s">
        <v>15</v>
      </c>
      <c r="E45" t="s">
        <v>16</v>
      </c>
      <c r="F45">
        <v>182</v>
      </c>
      <c r="G45">
        <v>32000</v>
      </c>
      <c r="H45" t="s">
        <v>27</v>
      </c>
      <c r="I45">
        <v>42</v>
      </c>
      <c r="J45" t="str">
        <f t="shared" si="3"/>
        <v>A3</v>
      </c>
      <c r="K45" s="2">
        <f t="shared" si="4"/>
        <v>175.82417582417582</v>
      </c>
      <c r="M45" t="str">
        <f>IF(ISNUMBER(A45), "Valid", "Invalid")</f>
        <v>Valid</v>
      </c>
    </row>
    <row r="46" spans="1:13" x14ac:dyDescent="0.35">
      <c r="A46">
        <v>45</v>
      </c>
      <c r="B46" s="6">
        <v>45152</v>
      </c>
      <c r="C46" t="s">
        <v>3</v>
      </c>
      <c r="D46" t="s">
        <v>17</v>
      </c>
      <c r="E46" t="s">
        <v>5</v>
      </c>
      <c r="F46">
        <v>185</v>
      </c>
      <c r="G46">
        <v>32500</v>
      </c>
      <c r="H46" t="s">
        <v>13</v>
      </c>
      <c r="I46">
        <v>43</v>
      </c>
      <c r="J46" t="str">
        <f t="shared" si="3"/>
        <v>A3</v>
      </c>
      <c r="K46" s="2">
        <f t="shared" si="4"/>
        <v>175.67567567567568</v>
      </c>
      <c r="M46" t="str">
        <f t="shared" si="2"/>
        <v>Valid</v>
      </c>
    </row>
    <row r="47" spans="1:13" x14ac:dyDescent="0.35">
      <c r="A47">
        <v>46</v>
      </c>
      <c r="B47" s="6">
        <v>45157</v>
      </c>
      <c r="C47" t="s">
        <v>7</v>
      </c>
      <c r="D47" t="s">
        <v>18</v>
      </c>
      <c r="E47" t="s">
        <v>9</v>
      </c>
      <c r="F47">
        <v>188</v>
      </c>
      <c r="G47">
        <v>33000</v>
      </c>
      <c r="H47" t="s">
        <v>6</v>
      </c>
      <c r="I47">
        <v>44</v>
      </c>
      <c r="J47" t="str">
        <f t="shared" si="3"/>
        <v>A3</v>
      </c>
      <c r="K47" s="2">
        <f t="shared" si="4"/>
        <v>175.53191489361703</v>
      </c>
      <c r="M47" t="str">
        <f t="shared" si="2"/>
        <v>Valid</v>
      </c>
    </row>
    <row r="48" spans="1:13" x14ac:dyDescent="0.35">
      <c r="A48">
        <v>47</v>
      </c>
      <c r="B48" s="6">
        <v>45162</v>
      </c>
      <c r="C48" t="s">
        <v>10</v>
      </c>
      <c r="D48" t="s">
        <v>19</v>
      </c>
      <c r="E48" t="s">
        <v>12</v>
      </c>
      <c r="F48">
        <v>191</v>
      </c>
      <c r="G48">
        <v>33500</v>
      </c>
      <c r="H48" t="s">
        <v>27</v>
      </c>
      <c r="I48">
        <v>37</v>
      </c>
      <c r="J48" t="str">
        <f t="shared" si="3"/>
        <v>A1</v>
      </c>
      <c r="K48" s="2">
        <f t="shared" si="4"/>
        <v>175.39267015706807</v>
      </c>
      <c r="M48" t="str">
        <f t="shared" si="2"/>
        <v>Valid</v>
      </c>
    </row>
    <row r="49" spans="1:13" x14ac:dyDescent="0.35">
      <c r="A49">
        <v>48</v>
      </c>
      <c r="B49" s="6">
        <v>45167</v>
      </c>
      <c r="C49" t="s">
        <v>14</v>
      </c>
      <c r="D49" t="s">
        <v>20</v>
      </c>
      <c r="E49" t="s">
        <v>16</v>
      </c>
      <c r="F49">
        <v>194</v>
      </c>
      <c r="G49">
        <v>34000</v>
      </c>
      <c r="H49" t="s">
        <v>13</v>
      </c>
      <c r="I49">
        <v>38</v>
      </c>
      <c r="J49" t="str">
        <f t="shared" si="3"/>
        <v>A1</v>
      </c>
      <c r="K49" s="2">
        <f t="shared" si="4"/>
        <v>175.25773195876289</v>
      </c>
      <c r="M49" t="str">
        <f t="shared" si="2"/>
        <v>Valid</v>
      </c>
    </row>
    <row r="50" spans="1:13" x14ac:dyDescent="0.35">
      <c r="A50">
        <v>49</v>
      </c>
      <c r="B50" s="6">
        <v>45172</v>
      </c>
      <c r="C50" t="s">
        <v>3</v>
      </c>
      <c r="D50" t="s">
        <v>4</v>
      </c>
      <c r="E50" t="s">
        <v>5</v>
      </c>
      <c r="F50">
        <v>197</v>
      </c>
      <c r="G50">
        <v>34500</v>
      </c>
      <c r="H50" t="s">
        <v>6</v>
      </c>
      <c r="I50">
        <v>39</v>
      </c>
      <c r="J50" t="str">
        <f t="shared" si="3"/>
        <v>A2</v>
      </c>
      <c r="K50" s="2">
        <f t="shared" si="4"/>
        <v>175.12690355329948</v>
      </c>
      <c r="M50" t="str">
        <f t="shared" si="2"/>
        <v>Valid</v>
      </c>
    </row>
    <row r="51" spans="1:13" x14ac:dyDescent="0.35">
      <c r="A51">
        <v>50</v>
      </c>
      <c r="B51" s="6">
        <v>45177</v>
      </c>
      <c r="C51" t="s">
        <v>7</v>
      </c>
      <c r="D51" t="s">
        <v>8</v>
      </c>
      <c r="E51" t="s">
        <v>9</v>
      </c>
      <c r="F51">
        <v>200</v>
      </c>
      <c r="G51">
        <v>35000</v>
      </c>
      <c r="H51" t="s">
        <v>27</v>
      </c>
      <c r="I51">
        <v>40</v>
      </c>
      <c r="J51" t="str">
        <f t="shared" si="3"/>
        <v>A2</v>
      </c>
      <c r="K51" s="2">
        <f t="shared" si="4"/>
        <v>175</v>
      </c>
      <c r="M51" t="str">
        <f t="shared" si="2"/>
        <v>Valid</v>
      </c>
    </row>
    <row r="52" spans="1:13" x14ac:dyDescent="0.35">
      <c r="A52">
        <v>51</v>
      </c>
      <c r="B52" s="6">
        <v>45182</v>
      </c>
      <c r="C52" t="s">
        <v>10</v>
      </c>
      <c r="D52" t="s">
        <v>11</v>
      </c>
      <c r="E52" t="s">
        <v>12</v>
      </c>
      <c r="F52">
        <v>203</v>
      </c>
      <c r="G52">
        <v>35500</v>
      </c>
      <c r="H52" t="s">
        <v>13</v>
      </c>
      <c r="I52">
        <v>41</v>
      </c>
      <c r="J52" t="str">
        <f t="shared" si="3"/>
        <v>A2</v>
      </c>
      <c r="K52" s="2">
        <f t="shared" si="4"/>
        <v>174.8768472906404</v>
      </c>
      <c r="M52" t="str">
        <f t="shared" si="2"/>
        <v>Valid</v>
      </c>
    </row>
    <row r="53" spans="1:13" x14ac:dyDescent="0.35">
      <c r="A53">
        <v>52</v>
      </c>
      <c r="B53" s="6">
        <v>45187</v>
      </c>
      <c r="C53" t="s">
        <v>14</v>
      </c>
      <c r="D53" t="s">
        <v>15</v>
      </c>
      <c r="E53" t="s">
        <v>16</v>
      </c>
      <c r="F53">
        <v>206</v>
      </c>
      <c r="G53">
        <v>36000</v>
      </c>
      <c r="H53" t="s">
        <v>6</v>
      </c>
      <c r="I53">
        <v>42</v>
      </c>
      <c r="J53" t="str">
        <f t="shared" si="3"/>
        <v>A3</v>
      </c>
      <c r="K53" s="2">
        <f t="shared" si="4"/>
        <v>174.75728155339806</v>
      </c>
      <c r="M53" t="str">
        <f t="shared" si="2"/>
        <v>Valid</v>
      </c>
    </row>
    <row r="54" spans="1:13" x14ac:dyDescent="0.35">
      <c r="A54">
        <v>53</v>
      </c>
      <c r="B54" s="6">
        <v>45192</v>
      </c>
      <c r="C54" t="s">
        <v>3</v>
      </c>
      <c r="D54" t="s">
        <v>17</v>
      </c>
      <c r="E54" t="s">
        <v>5</v>
      </c>
      <c r="F54">
        <v>209</v>
      </c>
      <c r="G54">
        <v>36500</v>
      </c>
      <c r="H54" t="s">
        <v>27</v>
      </c>
      <c r="I54">
        <v>43</v>
      </c>
      <c r="J54" t="str">
        <f t="shared" si="3"/>
        <v>A3</v>
      </c>
      <c r="K54" s="2">
        <f t="shared" si="4"/>
        <v>174.64114832535884</v>
      </c>
      <c r="M54" t="str">
        <f t="shared" si="2"/>
        <v>Valid</v>
      </c>
    </row>
    <row r="55" spans="1:13" x14ac:dyDescent="0.35">
      <c r="A55">
        <v>54</v>
      </c>
      <c r="B55" s="6">
        <v>45197</v>
      </c>
      <c r="C55" t="s">
        <v>7</v>
      </c>
      <c r="D55" t="s">
        <v>18</v>
      </c>
      <c r="E55" t="s">
        <v>9</v>
      </c>
      <c r="F55">
        <v>212</v>
      </c>
      <c r="G55">
        <v>37000</v>
      </c>
      <c r="H55" t="s">
        <v>13</v>
      </c>
      <c r="I55">
        <v>44</v>
      </c>
      <c r="J55" t="str">
        <f t="shared" si="3"/>
        <v>A3</v>
      </c>
      <c r="K55" s="2">
        <f t="shared" si="4"/>
        <v>174.52830188679246</v>
      </c>
      <c r="M55" t="str">
        <f t="shared" si="2"/>
        <v>Valid</v>
      </c>
    </row>
    <row r="56" spans="1:13" x14ac:dyDescent="0.35">
      <c r="A56">
        <v>55</v>
      </c>
      <c r="B56" s="6">
        <v>45202</v>
      </c>
      <c r="C56" t="s">
        <v>10</v>
      </c>
      <c r="D56" t="s">
        <v>19</v>
      </c>
      <c r="E56" t="s">
        <v>12</v>
      </c>
      <c r="F56">
        <v>215</v>
      </c>
      <c r="G56">
        <v>37500</v>
      </c>
      <c r="H56" t="s">
        <v>6</v>
      </c>
      <c r="I56">
        <v>37</v>
      </c>
      <c r="J56" t="str">
        <f t="shared" si="3"/>
        <v>A1</v>
      </c>
      <c r="K56" s="2">
        <f t="shared" si="4"/>
        <v>174.41860465116278</v>
      </c>
      <c r="M56" t="str">
        <f t="shared" si="2"/>
        <v>Valid</v>
      </c>
    </row>
    <row r="57" spans="1:13" x14ac:dyDescent="0.35">
      <c r="A57">
        <v>56</v>
      </c>
      <c r="B57" s="6">
        <v>45207</v>
      </c>
      <c r="C57" t="s">
        <v>14</v>
      </c>
      <c r="D57" t="s">
        <v>20</v>
      </c>
      <c r="E57" t="s">
        <v>16</v>
      </c>
      <c r="F57">
        <v>218</v>
      </c>
      <c r="G57">
        <v>38000</v>
      </c>
      <c r="H57" t="s">
        <v>27</v>
      </c>
      <c r="I57">
        <v>38</v>
      </c>
      <c r="J57" t="str">
        <f t="shared" si="3"/>
        <v>A1</v>
      </c>
      <c r="K57" s="2">
        <f t="shared" si="4"/>
        <v>174.3119266055046</v>
      </c>
      <c r="M57" t="str">
        <f t="shared" si="2"/>
        <v>Valid</v>
      </c>
    </row>
    <row r="58" spans="1:13" x14ac:dyDescent="0.35">
      <c r="A58">
        <v>57</v>
      </c>
      <c r="B58" s="6">
        <v>45212</v>
      </c>
      <c r="C58" t="s">
        <v>3</v>
      </c>
      <c r="D58" t="s">
        <v>4</v>
      </c>
      <c r="E58" t="s">
        <v>5</v>
      </c>
      <c r="F58">
        <v>221</v>
      </c>
      <c r="G58">
        <v>38500</v>
      </c>
      <c r="H58" t="s">
        <v>13</v>
      </c>
      <c r="I58">
        <v>39</v>
      </c>
      <c r="J58" t="str">
        <f t="shared" si="3"/>
        <v>A2</v>
      </c>
      <c r="K58" s="2">
        <f t="shared" si="4"/>
        <v>174.20814479638008</v>
      </c>
      <c r="M58" t="str">
        <f t="shared" si="2"/>
        <v>Valid</v>
      </c>
    </row>
    <row r="59" spans="1:13" x14ac:dyDescent="0.35">
      <c r="A59">
        <v>58</v>
      </c>
      <c r="B59" s="6">
        <v>45217</v>
      </c>
      <c r="C59" t="s">
        <v>7</v>
      </c>
      <c r="D59" t="s">
        <v>8</v>
      </c>
      <c r="E59" t="s">
        <v>9</v>
      </c>
      <c r="F59">
        <v>224</v>
      </c>
      <c r="G59">
        <v>39000</v>
      </c>
      <c r="H59" t="s">
        <v>6</v>
      </c>
      <c r="I59">
        <v>40</v>
      </c>
      <c r="J59" t="str">
        <f t="shared" si="3"/>
        <v>A2</v>
      </c>
      <c r="K59" s="2">
        <f t="shared" si="4"/>
        <v>174.10714285714286</v>
      </c>
      <c r="M59" t="str">
        <f>IF(ISNUMBER(A59), "Valid", "Invalid")</f>
        <v>Valid</v>
      </c>
    </row>
    <row r="60" spans="1:13" x14ac:dyDescent="0.35">
      <c r="A60">
        <v>59</v>
      </c>
      <c r="B60" s="6">
        <v>45222</v>
      </c>
      <c r="C60" t="s">
        <v>10</v>
      </c>
      <c r="D60" t="s">
        <v>11</v>
      </c>
      <c r="E60" t="s">
        <v>12</v>
      </c>
      <c r="F60">
        <v>227</v>
      </c>
      <c r="G60">
        <v>39500</v>
      </c>
      <c r="H60" t="s">
        <v>27</v>
      </c>
      <c r="I60">
        <v>41</v>
      </c>
      <c r="J60" t="str">
        <f t="shared" si="3"/>
        <v>A2</v>
      </c>
      <c r="K60" s="2">
        <f t="shared" si="4"/>
        <v>174.00881057268722</v>
      </c>
      <c r="M60" t="str">
        <f t="shared" si="2"/>
        <v>Valid</v>
      </c>
    </row>
    <row r="61" spans="1:13" x14ac:dyDescent="0.35">
      <c r="A61">
        <v>60</v>
      </c>
      <c r="B61" s="6">
        <v>45227</v>
      </c>
      <c r="C61" t="s">
        <v>14</v>
      </c>
      <c r="D61" t="s">
        <v>15</v>
      </c>
      <c r="E61" t="s">
        <v>16</v>
      </c>
      <c r="F61">
        <v>230</v>
      </c>
      <c r="G61">
        <v>40000</v>
      </c>
      <c r="H61" t="s">
        <v>13</v>
      </c>
      <c r="I61">
        <v>42</v>
      </c>
      <c r="J61" t="str">
        <f t="shared" si="3"/>
        <v>A3</v>
      </c>
      <c r="K61" s="2">
        <f t="shared" si="4"/>
        <v>173.91304347826087</v>
      </c>
      <c r="M61" t="str">
        <f t="shared" si="2"/>
        <v>Valid</v>
      </c>
    </row>
    <row r="62" spans="1:13" x14ac:dyDescent="0.35">
      <c r="A62">
        <v>61</v>
      </c>
      <c r="B62" s="6">
        <v>45232</v>
      </c>
      <c r="C62" t="s">
        <v>3</v>
      </c>
      <c r="D62" t="s">
        <v>17</v>
      </c>
      <c r="E62" t="s">
        <v>5</v>
      </c>
      <c r="F62">
        <v>233</v>
      </c>
      <c r="G62">
        <v>40500</v>
      </c>
      <c r="H62" t="s">
        <v>6</v>
      </c>
      <c r="I62">
        <v>43</v>
      </c>
      <c r="J62" t="str">
        <f t="shared" si="3"/>
        <v>A3</v>
      </c>
      <c r="K62" s="2">
        <f t="shared" si="4"/>
        <v>173.8197424892704</v>
      </c>
      <c r="M62" t="str">
        <f t="shared" si="2"/>
        <v>Valid</v>
      </c>
    </row>
    <row r="63" spans="1:13" x14ac:dyDescent="0.35">
      <c r="A63">
        <v>62</v>
      </c>
      <c r="B63" s="6">
        <v>45237</v>
      </c>
      <c r="C63" t="s">
        <v>7</v>
      </c>
      <c r="D63" t="s">
        <v>18</v>
      </c>
      <c r="E63" t="s">
        <v>9</v>
      </c>
      <c r="F63">
        <v>236</v>
      </c>
      <c r="G63">
        <v>41000</v>
      </c>
      <c r="H63" t="s">
        <v>27</v>
      </c>
      <c r="I63">
        <v>44</v>
      </c>
      <c r="J63" t="str">
        <f t="shared" si="3"/>
        <v>A3</v>
      </c>
      <c r="K63" s="2">
        <f t="shared" si="4"/>
        <v>173.72881355932202</v>
      </c>
      <c r="M63" t="str">
        <f t="shared" si="2"/>
        <v>Valid</v>
      </c>
    </row>
    <row r="64" spans="1:13" x14ac:dyDescent="0.35">
      <c r="A64">
        <v>63</v>
      </c>
      <c r="B64" s="6">
        <v>45242</v>
      </c>
      <c r="C64" t="s">
        <v>10</v>
      </c>
      <c r="D64" t="s">
        <v>19</v>
      </c>
      <c r="E64" t="s">
        <v>12</v>
      </c>
      <c r="F64">
        <v>239</v>
      </c>
      <c r="G64">
        <v>41500</v>
      </c>
      <c r="H64" t="s">
        <v>13</v>
      </c>
      <c r="I64">
        <v>37</v>
      </c>
      <c r="J64" t="str">
        <f t="shared" si="3"/>
        <v>A1</v>
      </c>
      <c r="K64" s="2">
        <f t="shared" si="4"/>
        <v>173.64016736401675</v>
      </c>
      <c r="M64" t="str">
        <f t="shared" si="2"/>
        <v>Valid</v>
      </c>
    </row>
    <row r="65" spans="1:13" x14ac:dyDescent="0.35">
      <c r="A65">
        <v>64</v>
      </c>
      <c r="B65" s="6">
        <v>45247</v>
      </c>
      <c r="C65" t="s">
        <v>14</v>
      </c>
      <c r="D65" t="s">
        <v>20</v>
      </c>
      <c r="E65" t="s">
        <v>16</v>
      </c>
      <c r="F65">
        <v>242</v>
      </c>
      <c r="G65">
        <v>42000</v>
      </c>
      <c r="H65" t="s">
        <v>6</v>
      </c>
      <c r="I65">
        <v>38</v>
      </c>
      <c r="J65" t="str">
        <f t="shared" si="3"/>
        <v>A1</v>
      </c>
      <c r="K65" s="2">
        <f t="shared" si="4"/>
        <v>173.55371900826447</v>
      </c>
      <c r="M65" t="str">
        <f t="shared" si="2"/>
        <v>Valid</v>
      </c>
    </row>
    <row r="66" spans="1:13" x14ac:dyDescent="0.35">
      <c r="A66">
        <v>65</v>
      </c>
      <c r="B66" s="6">
        <v>45252</v>
      </c>
      <c r="C66" t="s">
        <v>3</v>
      </c>
      <c r="D66" t="s">
        <v>4</v>
      </c>
      <c r="E66" t="s">
        <v>5</v>
      </c>
      <c r="F66">
        <v>245</v>
      </c>
      <c r="G66">
        <v>42500</v>
      </c>
      <c r="H66" t="s">
        <v>27</v>
      </c>
      <c r="I66">
        <v>39</v>
      </c>
      <c r="J66" t="str">
        <f t="shared" ref="J66:J97" si="5">IF(I66&lt;=38,"A1",IF(I66&lt;=41,"A2","A3"))</f>
        <v>A2</v>
      </c>
      <c r="K66" s="2">
        <f t="shared" ref="K66:K97" si="6">G66/F66</f>
        <v>173.46938775510205</v>
      </c>
      <c r="M66" t="str">
        <f t="shared" si="2"/>
        <v>Valid</v>
      </c>
    </row>
    <row r="67" spans="1:13" x14ac:dyDescent="0.35">
      <c r="A67">
        <v>66</v>
      </c>
      <c r="B67" s="6">
        <v>45257</v>
      </c>
      <c r="C67" t="s">
        <v>7</v>
      </c>
      <c r="D67" t="s">
        <v>8</v>
      </c>
      <c r="E67" t="s">
        <v>9</v>
      </c>
      <c r="F67">
        <v>248</v>
      </c>
      <c r="G67">
        <v>43000</v>
      </c>
      <c r="H67" t="s">
        <v>13</v>
      </c>
      <c r="I67">
        <v>40</v>
      </c>
      <c r="J67" t="str">
        <f t="shared" si="5"/>
        <v>A2</v>
      </c>
      <c r="K67" s="2">
        <f t="shared" si="6"/>
        <v>173.38709677419354</v>
      </c>
      <c r="M67" t="str">
        <f t="shared" ref="M67:M76" si="7">IF(ISNUMBER(A67), "Valid", "Invalid")</f>
        <v>Valid</v>
      </c>
    </row>
    <row r="68" spans="1:13" x14ac:dyDescent="0.35">
      <c r="A68">
        <v>67</v>
      </c>
      <c r="B68" s="6">
        <v>45262</v>
      </c>
      <c r="C68" t="s">
        <v>10</v>
      </c>
      <c r="D68" t="s">
        <v>11</v>
      </c>
      <c r="E68" t="s">
        <v>12</v>
      </c>
      <c r="F68">
        <v>251</v>
      </c>
      <c r="G68">
        <v>43500</v>
      </c>
      <c r="H68" t="s">
        <v>6</v>
      </c>
      <c r="I68">
        <v>41</v>
      </c>
      <c r="J68" t="str">
        <f t="shared" si="5"/>
        <v>A2</v>
      </c>
      <c r="K68" s="2">
        <f t="shared" si="6"/>
        <v>173.30677290836653</v>
      </c>
      <c r="M68" t="str">
        <f t="shared" si="7"/>
        <v>Valid</v>
      </c>
    </row>
    <row r="69" spans="1:13" x14ac:dyDescent="0.35">
      <c r="A69">
        <v>68</v>
      </c>
      <c r="B69" s="6">
        <v>45267</v>
      </c>
      <c r="C69" t="s">
        <v>14</v>
      </c>
      <c r="D69" t="s">
        <v>15</v>
      </c>
      <c r="E69" t="s">
        <v>16</v>
      </c>
      <c r="F69">
        <v>254</v>
      </c>
      <c r="G69">
        <v>44000</v>
      </c>
      <c r="H69" t="s">
        <v>27</v>
      </c>
      <c r="I69">
        <v>42</v>
      </c>
      <c r="J69" t="str">
        <f t="shared" si="5"/>
        <v>A3</v>
      </c>
      <c r="K69" s="2">
        <f t="shared" si="6"/>
        <v>173.22834645669292</v>
      </c>
      <c r="M69" t="str">
        <f t="shared" si="7"/>
        <v>Valid</v>
      </c>
    </row>
    <row r="70" spans="1:13" x14ac:dyDescent="0.35">
      <c r="A70">
        <v>69</v>
      </c>
      <c r="B70" s="6">
        <v>45272</v>
      </c>
      <c r="C70" t="s">
        <v>3</v>
      </c>
      <c r="D70" t="s">
        <v>17</v>
      </c>
      <c r="E70" t="s">
        <v>5</v>
      </c>
      <c r="F70">
        <v>257</v>
      </c>
      <c r="G70">
        <v>44500</v>
      </c>
      <c r="H70" t="s">
        <v>13</v>
      </c>
      <c r="I70">
        <v>43</v>
      </c>
      <c r="J70" t="str">
        <f t="shared" si="5"/>
        <v>A3</v>
      </c>
      <c r="K70" s="2">
        <f t="shared" si="6"/>
        <v>173.15175097276264</v>
      </c>
      <c r="M70" t="str">
        <f t="shared" si="7"/>
        <v>Valid</v>
      </c>
    </row>
    <row r="71" spans="1:13" x14ac:dyDescent="0.35">
      <c r="A71">
        <v>70</v>
      </c>
      <c r="B71" s="6">
        <v>45277</v>
      </c>
      <c r="C71" t="s">
        <v>7</v>
      </c>
      <c r="D71" t="s">
        <v>18</v>
      </c>
      <c r="E71" t="s">
        <v>9</v>
      </c>
      <c r="F71">
        <v>260</v>
      </c>
      <c r="G71">
        <v>45000</v>
      </c>
      <c r="H71" t="s">
        <v>6</v>
      </c>
      <c r="I71">
        <v>44</v>
      </c>
      <c r="J71" t="str">
        <f t="shared" si="5"/>
        <v>A3</v>
      </c>
      <c r="K71" s="2">
        <f t="shared" si="6"/>
        <v>173.07692307692307</v>
      </c>
      <c r="M71" t="str">
        <f t="shared" si="7"/>
        <v>Valid</v>
      </c>
    </row>
    <row r="72" spans="1:13" x14ac:dyDescent="0.35">
      <c r="A72">
        <v>71</v>
      </c>
      <c r="B72" s="6">
        <v>45282</v>
      </c>
      <c r="C72" t="s">
        <v>10</v>
      </c>
      <c r="D72" t="s">
        <v>19</v>
      </c>
      <c r="E72" t="s">
        <v>12</v>
      </c>
      <c r="F72">
        <v>263</v>
      </c>
      <c r="G72">
        <v>45500</v>
      </c>
      <c r="H72" t="s">
        <v>27</v>
      </c>
      <c r="I72">
        <v>37</v>
      </c>
      <c r="J72" t="str">
        <f t="shared" si="5"/>
        <v>A1</v>
      </c>
      <c r="K72" s="2">
        <f t="shared" si="6"/>
        <v>173.00380228136882</v>
      </c>
      <c r="M72" t="str">
        <f t="shared" si="7"/>
        <v>Valid</v>
      </c>
    </row>
    <row r="73" spans="1:13" x14ac:dyDescent="0.35">
      <c r="A73">
        <v>72</v>
      </c>
      <c r="B73" s="6">
        <v>45287</v>
      </c>
      <c r="C73" t="s">
        <v>14</v>
      </c>
      <c r="D73" t="s">
        <v>20</v>
      </c>
      <c r="E73" t="s">
        <v>16</v>
      </c>
      <c r="F73">
        <v>266</v>
      </c>
      <c r="G73">
        <v>46000</v>
      </c>
      <c r="H73" t="s">
        <v>13</v>
      </c>
      <c r="I73">
        <v>38</v>
      </c>
      <c r="J73" t="str">
        <f t="shared" si="5"/>
        <v>A1</v>
      </c>
      <c r="K73" s="2">
        <f t="shared" si="6"/>
        <v>172.93233082706766</v>
      </c>
      <c r="M73" t="str">
        <f t="shared" si="7"/>
        <v>Valid</v>
      </c>
    </row>
    <row r="74" spans="1:13" x14ac:dyDescent="0.35">
      <c r="A74">
        <v>73</v>
      </c>
      <c r="B74" s="6">
        <v>45292</v>
      </c>
      <c r="C74" t="s">
        <v>3</v>
      </c>
      <c r="D74" t="s">
        <v>4</v>
      </c>
      <c r="E74" t="s">
        <v>5</v>
      </c>
      <c r="F74">
        <v>269</v>
      </c>
      <c r="G74">
        <v>46500</v>
      </c>
      <c r="H74" t="s">
        <v>6</v>
      </c>
      <c r="I74">
        <v>39</v>
      </c>
      <c r="J74" t="str">
        <f t="shared" si="5"/>
        <v>A2</v>
      </c>
      <c r="K74" s="2">
        <f t="shared" si="6"/>
        <v>172.8624535315985</v>
      </c>
      <c r="M74" t="str">
        <f t="shared" si="7"/>
        <v>Valid</v>
      </c>
    </row>
    <row r="75" spans="1:13" x14ac:dyDescent="0.35">
      <c r="A75">
        <v>74</v>
      </c>
      <c r="B75" s="6">
        <v>45297</v>
      </c>
      <c r="C75" t="s">
        <v>7</v>
      </c>
      <c r="D75" t="s">
        <v>8</v>
      </c>
      <c r="E75" t="s">
        <v>9</v>
      </c>
      <c r="F75">
        <v>272</v>
      </c>
      <c r="G75">
        <v>47000</v>
      </c>
      <c r="H75" t="s">
        <v>27</v>
      </c>
      <c r="I75">
        <v>40</v>
      </c>
      <c r="J75" t="str">
        <f t="shared" si="5"/>
        <v>A2</v>
      </c>
      <c r="K75" s="2">
        <f t="shared" si="6"/>
        <v>172.79411764705881</v>
      </c>
      <c r="M75" t="str">
        <f t="shared" si="7"/>
        <v>Valid</v>
      </c>
    </row>
    <row r="76" spans="1:13" x14ac:dyDescent="0.35">
      <c r="A76">
        <v>75</v>
      </c>
      <c r="B76" s="6">
        <v>45302</v>
      </c>
      <c r="C76" t="s">
        <v>10</v>
      </c>
      <c r="D76" t="s">
        <v>11</v>
      </c>
      <c r="E76" t="s">
        <v>12</v>
      </c>
      <c r="F76">
        <v>275</v>
      </c>
      <c r="G76">
        <v>47500</v>
      </c>
      <c r="H76" t="s">
        <v>13</v>
      </c>
      <c r="I76">
        <v>41</v>
      </c>
      <c r="J76" t="str">
        <f t="shared" si="5"/>
        <v>A2</v>
      </c>
      <c r="K76" s="2">
        <f t="shared" si="6"/>
        <v>172.72727272727272</v>
      </c>
      <c r="M76" t="str">
        <f t="shared" si="7"/>
        <v>Valid</v>
      </c>
    </row>
    <row r="77" spans="1:13" x14ac:dyDescent="0.35">
      <c r="A77">
        <v>76</v>
      </c>
      <c r="B77" s="6">
        <v>45307</v>
      </c>
      <c r="C77" t="s">
        <v>14</v>
      </c>
      <c r="D77" t="s">
        <v>15</v>
      </c>
      <c r="E77" t="s">
        <v>16</v>
      </c>
      <c r="F77">
        <v>278</v>
      </c>
      <c r="G77">
        <v>48000</v>
      </c>
      <c r="H77" t="s">
        <v>6</v>
      </c>
      <c r="I77">
        <v>42</v>
      </c>
      <c r="J77" t="str">
        <f t="shared" si="5"/>
        <v>A3</v>
      </c>
      <c r="K77" s="2">
        <f t="shared" si="6"/>
        <v>172.66187050359713</v>
      </c>
      <c r="M77" t="str">
        <f>IF(ISNUMBER(A77), "Valid", "Invalid")</f>
        <v>Valid</v>
      </c>
    </row>
    <row r="78" spans="1:13" x14ac:dyDescent="0.35">
      <c r="A78">
        <v>77</v>
      </c>
      <c r="B78" s="6">
        <v>45312</v>
      </c>
      <c r="C78" t="s">
        <v>3</v>
      </c>
      <c r="D78" t="s">
        <v>17</v>
      </c>
      <c r="E78" t="s">
        <v>5</v>
      </c>
      <c r="F78">
        <v>281</v>
      </c>
      <c r="G78">
        <v>48500</v>
      </c>
      <c r="H78" t="s">
        <v>27</v>
      </c>
      <c r="I78">
        <v>43</v>
      </c>
      <c r="J78" t="str">
        <f t="shared" si="5"/>
        <v>A3</v>
      </c>
      <c r="K78" s="2">
        <f t="shared" si="6"/>
        <v>172.59786476868328</v>
      </c>
      <c r="M78" t="str">
        <f t="shared" ref="M78:M119" si="8">IF(ISNUMBER(A78), "Valid", "Invalid")</f>
        <v>Valid</v>
      </c>
    </row>
    <row r="79" spans="1:13" x14ac:dyDescent="0.35">
      <c r="A79">
        <v>78</v>
      </c>
      <c r="B79" s="6">
        <v>45317</v>
      </c>
      <c r="C79" t="s">
        <v>7</v>
      </c>
      <c r="D79" t="s">
        <v>18</v>
      </c>
      <c r="E79" t="s">
        <v>9</v>
      </c>
      <c r="F79">
        <v>284</v>
      </c>
      <c r="G79">
        <v>49000</v>
      </c>
      <c r="H79" t="s">
        <v>13</v>
      </c>
      <c r="I79">
        <v>44</v>
      </c>
      <c r="J79" t="str">
        <f t="shared" si="5"/>
        <v>A3</v>
      </c>
      <c r="K79" s="2">
        <f t="shared" si="6"/>
        <v>172.53521126760563</v>
      </c>
      <c r="M79" t="str">
        <f t="shared" si="8"/>
        <v>Valid</v>
      </c>
    </row>
    <row r="80" spans="1:13" x14ac:dyDescent="0.35">
      <c r="A80">
        <v>79</v>
      </c>
      <c r="B80" s="6">
        <v>45322</v>
      </c>
      <c r="C80" t="s">
        <v>10</v>
      </c>
      <c r="D80" t="s">
        <v>19</v>
      </c>
      <c r="E80" t="s">
        <v>12</v>
      </c>
      <c r="F80">
        <v>287</v>
      </c>
      <c r="G80">
        <v>49500</v>
      </c>
      <c r="H80" t="s">
        <v>6</v>
      </c>
      <c r="I80">
        <v>37</v>
      </c>
      <c r="J80" t="str">
        <f t="shared" si="5"/>
        <v>A1</v>
      </c>
      <c r="K80" s="2">
        <f t="shared" si="6"/>
        <v>172.4738675958188</v>
      </c>
      <c r="M80" t="str">
        <f t="shared" si="8"/>
        <v>Valid</v>
      </c>
    </row>
    <row r="81" spans="1:13" x14ac:dyDescent="0.35">
      <c r="A81">
        <v>80</v>
      </c>
      <c r="B81" s="6">
        <v>45327</v>
      </c>
      <c r="C81" t="s">
        <v>14</v>
      </c>
      <c r="D81" t="s">
        <v>20</v>
      </c>
      <c r="E81" t="s">
        <v>16</v>
      </c>
      <c r="F81">
        <v>290</v>
      </c>
      <c r="G81">
        <v>50000</v>
      </c>
      <c r="H81" t="s">
        <v>27</v>
      </c>
      <c r="I81">
        <v>38</v>
      </c>
      <c r="J81" t="str">
        <f t="shared" si="5"/>
        <v>A1</v>
      </c>
      <c r="K81" s="2">
        <f t="shared" si="6"/>
        <v>172.41379310344828</v>
      </c>
      <c r="M81" t="str">
        <f t="shared" si="8"/>
        <v>Valid</v>
      </c>
    </row>
    <row r="82" spans="1:13" x14ac:dyDescent="0.35">
      <c r="A82">
        <v>81</v>
      </c>
      <c r="B82" s="6">
        <v>45332</v>
      </c>
      <c r="C82" t="s">
        <v>3</v>
      </c>
      <c r="D82" t="s">
        <v>4</v>
      </c>
      <c r="E82" t="s">
        <v>5</v>
      </c>
      <c r="F82">
        <v>293</v>
      </c>
      <c r="G82">
        <v>50500</v>
      </c>
      <c r="H82" t="s">
        <v>13</v>
      </c>
      <c r="I82">
        <v>39</v>
      </c>
      <c r="J82" t="str">
        <f t="shared" si="5"/>
        <v>A2</v>
      </c>
      <c r="K82" s="2">
        <f t="shared" si="6"/>
        <v>172.35494880546077</v>
      </c>
      <c r="M82" t="str">
        <f t="shared" si="8"/>
        <v>Valid</v>
      </c>
    </row>
    <row r="83" spans="1:13" x14ac:dyDescent="0.35">
      <c r="A83">
        <v>82</v>
      </c>
      <c r="B83" s="6">
        <v>45337</v>
      </c>
      <c r="C83" t="s">
        <v>7</v>
      </c>
      <c r="D83" t="s">
        <v>8</v>
      </c>
      <c r="E83" t="s">
        <v>9</v>
      </c>
      <c r="F83">
        <v>296</v>
      </c>
      <c r="G83">
        <v>51000</v>
      </c>
      <c r="H83" t="s">
        <v>6</v>
      </c>
      <c r="I83">
        <v>40</v>
      </c>
      <c r="J83" t="str">
        <f t="shared" si="5"/>
        <v>A2</v>
      </c>
      <c r="K83" s="2">
        <f t="shared" si="6"/>
        <v>172.29729729729729</v>
      </c>
      <c r="M83" t="str">
        <f t="shared" si="8"/>
        <v>Valid</v>
      </c>
    </row>
    <row r="84" spans="1:13" x14ac:dyDescent="0.35">
      <c r="A84">
        <v>83</v>
      </c>
      <c r="B84" s="6">
        <v>45342</v>
      </c>
      <c r="C84" t="s">
        <v>10</v>
      </c>
      <c r="D84" t="s">
        <v>11</v>
      </c>
      <c r="E84" t="s">
        <v>12</v>
      </c>
      <c r="F84">
        <v>299</v>
      </c>
      <c r="G84">
        <v>51500</v>
      </c>
      <c r="H84" t="s">
        <v>27</v>
      </c>
      <c r="I84">
        <v>41</v>
      </c>
      <c r="J84" t="str">
        <f t="shared" si="5"/>
        <v>A2</v>
      </c>
      <c r="K84" s="2">
        <f t="shared" si="6"/>
        <v>172.24080267558529</v>
      </c>
      <c r="M84" t="str">
        <f t="shared" si="8"/>
        <v>Valid</v>
      </c>
    </row>
    <row r="85" spans="1:13" x14ac:dyDescent="0.35">
      <c r="A85">
        <v>84</v>
      </c>
      <c r="B85" s="6">
        <v>45347</v>
      </c>
      <c r="C85" t="s">
        <v>14</v>
      </c>
      <c r="D85" t="s">
        <v>15</v>
      </c>
      <c r="E85" t="s">
        <v>16</v>
      </c>
      <c r="F85">
        <v>302</v>
      </c>
      <c r="G85">
        <v>52000</v>
      </c>
      <c r="H85" t="s">
        <v>13</v>
      </c>
      <c r="I85">
        <v>42</v>
      </c>
      <c r="J85" t="str">
        <f t="shared" si="5"/>
        <v>A3</v>
      </c>
      <c r="K85" s="2">
        <f t="shared" si="6"/>
        <v>172.18543046357615</v>
      </c>
      <c r="M85" t="str">
        <f t="shared" si="8"/>
        <v>Valid</v>
      </c>
    </row>
    <row r="86" spans="1:13" x14ac:dyDescent="0.35">
      <c r="A86">
        <v>85</v>
      </c>
      <c r="B86" s="6">
        <v>45294</v>
      </c>
      <c r="C86" t="s">
        <v>3</v>
      </c>
      <c r="D86" t="s">
        <v>17</v>
      </c>
      <c r="E86" t="s">
        <v>5</v>
      </c>
      <c r="F86">
        <v>305</v>
      </c>
      <c r="G86">
        <v>52500</v>
      </c>
      <c r="H86" t="s">
        <v>6</v>
      </c>
      <c r="I86">
        <v>43</v>
      </c>
      <c r="J86" t="str">
        <f t="shared" si="5"/>
        <v>A3</v>
      </c>
      <c r="K86" s="2">
        <f t="shared" si="6"/>
        <v>172.13114754098362</v>
      </c>
      <c r="M86" t="str">
        <f t="shared" si="8"/>
        <v>Valid</v>
      </c>
    </row>
    <row r="87" spans="1:13" x14ac:dyDescent="0.35">
      <c r="A87">
        <v>86</v>
      </c>
      <c r="B87" s="6">
        <v>45446</v>
      </c>
      <c r="C87" t="s">
        <v>7</v>
      </c>
      <c r="D87" t="s">
        <v>18</v>
      </c>
      <c r="E87" t="s">
        <v>9</v>
      </c>
      <c r="F87">
        <v>308</v>
      </c>
      <c r="G87">
        <v>53000</v>
      </c>
      <c r="H87" t="s">
        <v>27</v>
      </c>
      <c r="I87">
        <v>44</v>
      </c>
      <c r="J87" t="str">
        <f t="shared" si="5"/>
        <v>A3</v>
      </c>
      <c r="K87" s="2">
        <f t="shared" si="6"/>
        <v>172.07792207792207</v>
      </c>
      <c r="M87" t="str">
        <f t="shared" si="8"/>
        <v>Valid</v>
      </c>
    </row>
    <row r="88" spans="1:13" x14ac:dyDescent="0.35">
      <c r="A88">
        <v>87</v>
      </c>
      <c r="B88" s="6">
        <v>45362</v>
      </c>
      <c r="C88" t="s">
        <v>10</v>
      </c>
      <c r="D88" t="s">
        <v>19</v>
      </c>
      <c r="E88" t="s">
        <v>12</v>
      </c>
      <c r="F88">
        <v>311</v>
      </c>
      <c r="G88">
        <v>53500</v>
      </c>
      <c r="H88" t="s">
        <v>13</v>
      </c>
      <c r="I88">
        <v>37</v>
      </c>
      <c r="J88" t="str">
        <f t="shared" si="5"/>
        <v>A1</v>
      </c>
      <c r="K88" s="2">
        <f t="shared" si="6"/>
        <v>172.0257234726688</v>
      </c>
      <c r="M88" t="str">
        <f t="shared" si="8"/>
        <v>Valid</v>
      </c>
    </row>
    <row r="89" spans="1:13" x14ac:dyDescent="0.35">
      <c r="A89">
        <v>88</v>
      </c>
      <c r="B89" s="6">
        <v>45367</v>
      </c>
      <c r="C89" t="s">
        <v>14</v>
      </c>
      <c r="D89" t="s">
        <v>20</v>
      </c>
      <c r="E89" t="s">
        <v>16</v>
      </c>
      <c r="F89">
        <v>314</v>
      </c>
      <c r="G89">
        <v>54000</v>
      </c>
      <c r="H89" t="s">
        <v>6</v>
      </c>
      <c r="I89">
        <v>38</v>
      </c>
      <c r="J89" t="str">
        <f t="shared" si="5"/>
        <v>A1</v>
      </c>
      <c r="K89" s="2">
        <f t="shared" si="6"/>
        <v>171.97452229299364</v>
      </c>
      <c r="M89" t="str">
        <f t="shared" si="8"/>
        <v>Valid</v>
      </c>
    </row>
    <row r="90" spans="1:13" x14ac:dyDescent="0.35">
      <c r="A90">
        <v>89</v>
      </c>
      <c r="B90" s="6">
        <v>45372</v>
      </c>
      <c r="C90" t="s">
        <v>3</v>
      </c>
      <c r="D90" t="s">
        <v>4</v>
      </c>
      <c r="E90" t="s">
        <v>5</v>
      </c>
      <c r="F90">
        <v>317</v>
      </c>
      <c r="G90">
        <v>54500</v>
      </c>
      <c r="H90" t="s">
        <v>27</v>
      </c>
      <c r="I90">
        <v>39</v>
      </c>
      <c r="J90" t="str">
        <f t="shared" si="5"/>
        <v>A2</v>
      </c>
      <c r="K90" s="2">
        <f t="shared" si="6"/>
        <v>171.92429022082018</v>
      </c>
      <c r="M90" t="str">
        <f t="shared" si="8"/>
        <v>Valid</v>
      </c>
    </row>
    <row r="91" spans="1:13" x14ac:dyDescent="0.35">
      <c r="A91">
        <v>90</v>
      </c>
      <c r="B91" s="6">
        <v>45377</v>
      </c>
      <c r="C91" t="s">
        <v>7</v>
      </c>
      <c r="D91" t="s">
        <v>8</v>
      </c>
      <c r="E91" t="s">
        <v>9</v>
      </c>
      <c r="F91">
        <v>320</v>
      </c>
      <c r="G91">
        <v>55000</v>
      </c>
      <c r="H91" t="s">
        <v>13</v>
      </c>
      <c r="I91">
        <v>40</v>
      </c>
      <c r="J91" t="str">
        <f t="shared" si="5"/>
        <v>A2</v>
      </c>
      <c r="K91" s="2">
        <f t="shared" si="6"/>
        <v>171.875</v>
      </c>
      <c r="M91" t="str">
        <f t="shared" si="8"/>
        <v>Valid</v>
      </c>
    </row>
    <row r="92" spans="1:13" x14ac:dyDescent="0.35">
      <c r="A92">
        <v>91</v>
      </c>
      <c r="B92" s="6">
        <v>45382</v>
      </c>
      <c r="C92" t="s">
        <v>10</v>
      </c>
      <c r="D92" t="s">
        <v>11</v>
      </c>
      <c r="E92" t="s">
        <v>12</v>
      </c>
      <c r="F92">
        <v>323</v>
      </c>
      <c r="G92">
        <v>55500</v>
      </c>
      <c r="H92" t="s">
        <v>6</v>
      </c>
      <c r="I92">
        <v>41</v>
      </c>
      <c r="J92" t="str">
        <f t="shared" si="5"/>
        <v>A2</v>
      </c>
      <c r="K92" s="2">
        <f t="shared" si="6"/>
        <v>171.82662538699691</v>
      </c>
      <c r="M92" t="str">
        <f t="shared" si="8"/>
        <v>Valid</v>
      </c>
    </row>
    <row r="93" spans="1:13" x14ac:dyDescent="0.35">
      <c r="A93">
        <v>92</v>
      </c>
      <c r="B93" s="6">
        <v>45416</v>
      </c>
      <c r="C93" t="s">
        <v>14</v>
      </c>
      <c r="D93" t="s">
        <v>15</v>
      </c>
      <c r="E93" t="s">
        <v>16</v>
      </c>
      <c r="F93">
        <v>326</v>
      </c>
      <c r="G93">
        <v>56000</v>
      </c>
      <c r="H93" t="s">
        <v>27</v>
      </c>
      <c r="I93">
        <v>42</v>
      </c>
      <c r="J93" t="str">
        <f t="shared" si="5"/>
        <v>A3</v>
      </c>
      <c r="K93" s="2">
        <f t="shared" si="6"/>
        <v>171.77914110429447</v>
      </c>
      <c r="M93" t="str">
        <f t="shared" si="8"/>
        <v>Valid</v>
      </c>
    </row>
    <row r="94" spans="1:13" x14ac:dyDescent="0.35">
      <c r="A94">
        <v>93</v>
      </c>
      <c r="B94" s="6">
        <v>45569</v>
      </c>
      <c r="C94" t="s">
        <v>3</v>
      </c>
      <c r="D94" t="s">
        <v>17</v>
      </c>
      <c r="E94" t="s">
        <v>5</v>
      </c>
      <c r="F94">
        <v>329</v>
      </c>
      <c r="G94">
        <v>56500</v>
      </c>
      <c r="H94" t="s">
        <v>13</v>
      </c>
      <c r="I94">
        <v>43</v>
      </c>
      <c r="J94" t="str">
        <f t="shared" si="5"/>
        <v>A3</v>
      </c>
      <c r="K94" s="2">
        <f t="shared" si="6"/>
        <v>171.73252279635258</v>
      </c>
      <c r="M94" t="str">
        <f t="shared" si="8"/>
        <v>Valid</v>
      </c>
    </row>
    <row r="95" spans="1:13" x14ac:dyDescent="0.35">
      <c r="A95">
        <v>94</v>
      </c>
      <c r="B95" s="8">
        <v>45427</v>
      </c>
      <c r="C95" t="s">
        <v>3</v>
      </c>
      <c r="D95" t="s">
        <v>8</v>
      </c>
      <c r="E95" t="s">
        <v>16</v>
      </c>
      <c r="F95">
        <v>173</v>
      </c>
      <c r="G95">
        <v>24549</v>
      </c>
      <c r="H95" t="s">
        <v>13</v>
      </c>
      <c r="I95">
        <v>40</v>
      </c>
      <c r="J95" t="str">
        <f t="shared" si="5"/>
        <v>A2</v>
      </c>
      <c r="K95" s="2">
        <f t="shared" si="6"/>
        <v>141.90173410404626</v>
      </c>
      <c r="M95" t="str">
        <f t="shared" si="8"/>
        <v>Valid</v>
      </c>
    </row>
    <row r="96" spans="1:13" x14ac:dyDescent="0.35">
      <c r="A96">
        <v>95</v>
      </c>
      <c r="B96" s="6">
        <v>45481</v>
      </c>
      <c r="C96" t="s">
        <v>3</v>
      </c>
      <c r="D96" t="s">
        <v>4</v>
      </c>
      <c r="E96" t="s">
        <v>9</v>
      </c>
      <c r="F96">
        <v>306</v>
      </c>
      <c r="G96">
        <v>679</v>
      </c>
      <c r="H96" t="s">
        <v>13</v>
      </c>
      <c r="I96">
        <v>39</v>
      </c>
      <c r="J96" t="str">
        <f t="shared" si="5"/>
        <v>A2</v>
      </c>
      <c r="K96" s="2">
        <f t="shared" si="6"/>
        <v>2.2189542483660132</v>
      </c>
      <c r="M96" t="str">
        <f t="shared" si="8"/>
        <v>Valid</v>
      </c>
    </row>
    <row r="97" spans="1:13" x14ac:dyDescent="0.35">
      <c r="A97">
        <v>96</v>
      </c>
      <c r="B97" s="6">
        <v>45323</v>
      </c>
      <c r="C97" t="s">
        <v>3</v>
      </c>
      <c r="D97" t="s">
        <v>17</v>
      </c>
      <c r="E97" t="s">
        <v>16</v>
      </c>
      <c r="F97">
        <v>128</v>
      </c>
      <c r="G97">
        <v>35088</v>
      </c>
      <c r="H97" t="s">
        <v>13</v>
      </c>
      <c r="I97">
        <v>43</v>
      </c>
      <c r="J97" t="str">
        <f t="shared" si="5"/>
        <v>A3</v>
      </c>
      <c r="K97" s="2">
        <f t="shared" si="6"/>
        <v>274.125</v>
      </c>
      <c r="M97" t="str">
        <f t="shared" si="8"/>
        <v>Valid</v>
      </c>
    </row>
    <row r="98" spans="1:13" x14ac:dyDescent="0.35">
      <c r="A98">
        <v>97</v>
      </c>
      <c r="B98" s="6">
        <v>45328</v>
      </c>
      <c r="C98" t="s">
        <v>7</v>
      </c>
      <c r="D98" t="s">
        <v>20</v>
      </c>
      <c r="E98" t="s">
        <v>12</v>
      </c>
      <c r="F98">
        <v>368</v>
      </c>
      <c r="G98">
        <v>25254</v>
      </c>
      <c r="H98" t="s">
        <v>6</v>
      </c>
      <c r="I98">
        <v>38</v>
      </c>
      <c r="J98" t="str">
        <f t="shared" ref="J98:J129" si="9">IF(I98&lt;=38,"A1",IF(I98&lt;=41,"A2","A3"))</f>
        <v>A1</v>
      </c>
      <c r="K98" s="2">
        <f t="shared" ref="K98:K119" si="10">G98/F98</f>
        <v>68.625</v>
      </c>
      <c r="M98" t="str">
        <f t="shared" si="8"/>
        <v>Valid</v>
      </c>
    </row>
    <row r="99" spans="1:13" x14ac:dyDescent="0.35">
      <c r="A99">
        <v>98</v>
      </c>
      <c r="B99" s="6">
        <v>45089</v>
      </c>
      <c r="C99" t="s">
        <v>7</v>
      </c>
      <c r="D99" t="s">
        <v>11</v>
      </c>
      <c r="E99" t="s">
        <v>5</v>
      </c>
      <c r="F99">
        <v>222</v>
      </c>
      <c r="G99">
        <v>17500</v>
      </c>
      <c r="H99" t="s">
        <v>13</v>
      </c>
      <c r="I99">
        <v>41</v>
      </c>
      <c r="J99" t="str">
        <f t="shared" si="9"/>
        <v>A2</v>
      </c>
      <c r="K99" s="2">
        <f t="shared" si="10"/>
        <v>78.828828828828833</v>
      </c>
      <c r="M99" t="str">
        <f t="shared" si="8"/>
        <v>Valid</v>
      </c>
    </row>
    <row r="100" spans="1:13" x14ac:dyDescent="0.35">
      <c r="A100">
        <v>100</v>
      </c>
      <c r="B100" s="6">
        <v>45028</v>
      </c>
      <c r="C100" t="s">
        <v>7</v>
      </c>
      <c r="D100" t="s">
        <v>18</v>
      </c>
      <c r="E100" t="s">
        <v>12</v>
      </c>
      <c r="F100">
        <v>307</v>
      </c>
      <c r="G100">
        <v>679</v>
      </c>
      <c r="H100" t="s">
        <v>6</v>
      </c>
      <c r="I100">
        <v>44</v>
      </c>
      <c r="J100" t="str">
        <f t="shared" si="9"/>
        <v>A3</v>
      </c>
      <c r="K100" s="2">
        <f t="shared" si="10"/>
        <v>2.2117263843648209</v>
      </c>
      <c r="M100" t="str">
        <f t="shared" si="8"/>
        <v>Valid</v>
      </c>
    </row>
    <row r="101" spans="1:13" x14ac:dyDescent="0.35">
      <c r="A101">
        <v>101</v>
      </c>
      <c r="B101" s="6">
        <v>44996</v>
      </c>
      <c r="C101" t="s">
        <v>14</v>
      </c>
      <c r="D101" t="s">
        <v>20</v>
      </c>
      <c r="E101" t="s">
        <v>9</v>
      </c>
      <c r="F101">
        <v>384</v>
      </c>
      <c r="G101">
        <v>40655</v>
      </c>
      <c r="H101" t="s">
        <v>6</v>
      </c>
      <c r="I101">
        <v>38</v>
      </c>
      <c r="J101" t="str">
        <f t="shared" si="9"/>
        <v>A1</v>
      </c>
      <c r="K101" s="2">
        <f t="shared" si="10"/>
        <v>105.87239583333333</v>
      </c>
      <c r="M101" t="str">
        <f t="shared" si="8"/>
        <v>Valid</v>
      </c>
    </row>
    <row r="102" spans="1:13" x14ac:dyDescent="0.35">
      <c r="A102">
        <v>102</v>
      </c>
      <c r="B102" s="6">
        <v>45350</v>
      </c>
      <c r="C102" t="s">
        <v>10</v>
      </c>
      <c r="D102" t="s">
        <v>11</v>
      </c>
      <c r="E102" t="s">
        <v>16</v>
      </c>
      <c r="F102">
        <v>97</v>
      </c>
      <c r="G102">
        <v>679</v>
      </c>
      <c r="H102" t="s">
        <v>6</v>
      </c>
      <c r="I102">
        <v>41</v>
      </c>
      <c r="J102" t="str">
        <f t="shared" si="9"/>
        <v>A2</v>
      </c>
      <c r="K102" s="2">
        <f t="shared" si="10"/>
        <v>7</v>
      </c>
      <c r="M102" t="str">
        <f t="shared" si="8"/>
        <v>Valid</v>
      </c>
    </row>
    <row r="103" spans="1:13" x14ac:dyDescent="0.35">
      <c r="A103">
        <v>103</v>
      </c>
      <c r="B103" s="6">
        <v>45355</v>
      </c>
      <c r="C103" t="s">
        <v>7</v>
      </c>
      <c r="D103" t="s">
        <v>4</v>
      </c>
      <c r="E103" t="s">
        <v>5</v>
      </c>
      <c r="F103">
        <v>359</v>
      </c>
      <c r="G103">
        <v>12753</v>
      </c>
      <c r="H103" t="s">
        <v>13</v>
      </c>
      <c r="I103">
        <v>39</v>
      </c>
      <c r="J103" t="str">
        <f t="shared" si="9"/>
        <v>A2</v>
      </c>
      <c r="K103" s="2">
        <f t="shared" si="10"/>
        <v>35.523676880222844</v>
      </c>
      <c r="M103" t="str">
        <f>IF(ISNUMBER(A103), "Valid", "Invalid")</f>
        <v>Valid</v>
      </c>
    </row>
    <row r="104" spans="1:13" x14ac:dyDescent="0.35">
      <c r="A104">
        <v>104</v>
      </c>
      <c r="B104" s="6">
        <v>45028</v>
      </c>
      <c r="C104" t="s">
        <v>3</v>
      </c>
      <c r="D104" t="s">
        <v>4</v>
      </c>
      <c r="E104" t="s">
        <v>5</v>
      </c>
      <c r="F104">
        <v>318</v>
      </c>
      <c r="G104">
        <v>16864</v>
      </c>
      <c r="H104" t="s">
        <v>13</v>
      </c>
      <c r="I104">
        <v>39</v>
      </c>
      <c r="J104" t="str">
        <f t="shared" si="9"/>
        <v>A2</v>
      </c>
      <c r="K104" s="2">
        <f t="shared" si="10"/>
        <v>53.031446540880502</v>
      </c>
      <c r="M104" t="str">
        <f t="shared" si="8"/>
        <v>Valid</v>
      </c>
    </row>
    <row r="105" spans="1:13" x14ac:dyDescent="0.35">
      <c r="A105">
        <v>105</v>
      </c>
      <c r="B105" s="6">
        <v>44996</v>
      </c>
      <c r="C105" t="s">
        <v>7</v>
      </c>
      <c r="D105" t="s">
        <v>4</v>
      </c>
      <c r="E105" t="s">
        <v>16</v>
      </c>
      <c r="F105">
        <v>51</v>
      </c>
      <c r="G105">
        <v>56888</v>
      </c>
      <c r="H105" t="s">
        <v>6</v>
      </c>
      <c r="I105">
        <v>39</v>
      </c>
      <c r="J105" t="str">
        <f t="shared" si="9"/>
        <v>A2</v>
      </c>
      <c r="K105" s="2">
        <f t="shared" si="10"/>
        <v>1115.4509803921569</v>
      </c>
      <c r="M105" t="str">
        <f t="shared" si="8"/>
        <v>Valid</v>
      </c>
    </row>
    <row r="106" spans="1:13" x14ac:dyDescent="0.35">
      <c r="A106">
        <v>106</v>
      </c>
      <c r="B106" s="6">
        <v>45295</v>
      </c>
      <c r="C106" t="s">
        <v>10</v>
      </c>
      <c r="D106" t="s">
        <v>17</v>
      </c>
      <c r="E106" t="s">
        <v>5</v>
      </c>
      <c r="F106">
        <v>236</v>
      </c>
      <c r="G106">
        <v>679</v>
      </c>
      <c r="H106" t="s">
        <v>27</v>
      </c>
      <c r="I106">
        <v>43</v>
      </c>
      <c r="J106" t="str">
        <f t="shared" si="9"/>
        <v>A3</v>
      </c>
      <c r="K106" s="2">
        <f t="shared" si="10"/>
        <v>2.8771186440677967</v>
      </c>
      <c r="M106" t="str">
        <f t="shared" si="8"/>
        <v>Valid</v>
      </c>
    </row>
    <row r="107" spans="1:13" x14ac:dyDescent="0.35">
      <c r="A107">
        <v>107</v>
      </c>
      <c r="B107" s="6">
        <v>45603</v>
      </c>
      <c r="C107" t="s">
        <v>7</v>
      </c>
      <c r="D107" t="s">
        <v>4</v>
      </c>
      <c r="E107" t="s">
        <v>16</v>
      </c>
      <c r="F107">
        <v>214</v>
      </c>
      <c r="G107">
        <v>31122</v>
      </c>
      <c r="H107" t="s">
        <v>13</v>
      </c>
      <c r="I107">
        <v>39</v>
      </c>
      <c r="J107" t="str">
        <f t="shared" si="9"/>
        <v>A2</v>
      </c>
      <c r="K107" s="2">
        <f t="shared" si="10"/>
        <v>145.42990654205607</v>
      </c>
      <c r="M107" t="str">
        <f t="shared" si="8"/>
        <v>Valid</v>
      </c>
    </row>
    <row r="108" spans="1:13" x14ac:dyDescent="0.35">
      <c r="A108">
        <v>108</v>
      </c>
      <c r="B108" s="6">
        <v>45379</v>
      </c>
      <c r="C108" t="s">
        <v>7</v>
      </c>
      <c r="D108" t="s">
        <v>19</v>
      </c>
      <c r="E108" t="s">
        <v>16</v>
      </c>
      <c r="F108">
        <v>86</v>
      </c>
      <c r="G108">
        <v>25853</v>
      </c>
      <c r="H108" t="s">
        <v>6</v>
      </c>
      <c r="I108">
        <v>37</v>
      </c>
      <c r="J108" t="str">
        <f t="shared" si="9"/>
        <v>A1</v>
      </c>
      <c r="K108" s="2">
        <f t="shared" si="10"/>
        <v>300.61627906976742</v>
      </c>
      <c r="M108" t="str">
        <f t="shared" si="8"/>
        <v>Valid</v>
      </c>
    </row>
    <row r="109" spans="1:13" x14ac:dyDescent="0.35">
      <c r="A109">
        <v>109</v>
      </c>
      <c r="B109" s="6">
        <v>45370</v>
      </c>
      <c r="C109" t="s">
        <v>7</v>
      </c>
      <c r="D109" t="s">
        <v>18</v>
      </c>
      <c r="E109" t="s">
        <v>5</v>
      </c>
      <c r="F109">
        <v>155</v>
      </c>
      <c r="G109">
        <v>11092</v>
      </c>
      <c r="H109" t="s">
        <v>6</v>
      </c>
      <c r="I109">
        <v>44</v>
      </c>
      <c r="J109" t="str">
        <f t="shared" si="9"/>
        <v>A3</v>
      </c>
      <c r="K109" s="2">
        <f t="shared" si="10"/>
        <v>71.561290322580646</v>
      </c>
      <c r="M109" t="str">
        <f t="shared" si="8"/>
        <v>Valid</v>
      </c>
    </row>
    <row r="110" spans="1:13" x14ac:dyDescent="0.35">
      <c r="A110">
        <v>110</v>
      </c>
      <c r="B110" s="6">
        <v>45210</v>
      </c>
      <c r="C110" t="s">
        <v>7</v>
      </c>
      <c r="D110" t="s">
        <v>15</v>
      </c>
      <c r="E110" t="s">
        <v>12</v>
      </c>
      <c r="F110">
        <v>319</v>
      </c>
      <c r="G110">
        <v>4221</v>
      </c>
      <c r="H110" t="s">
        <v>13</v>
      </c>
      <c r="I110">
        <v>42</v>
      </c>
      <c r="J110" t="str">
        <f t="shared" si="9"/>
        <v>A3</v>
      </c>
      <c r="K110" s="2">
        <f t="shared" si="10"/>
        <v>13.231974921630094</v>
      </c>
      <c r="M110" t="str">
        <f t="shared" si="8"/>
        <v>Valid</v>
      </c>
    </row>
    <row r="111" spans="1:13" x14ac:dyDescent="0.35">
      <c r="A111">
        <v>111</v>
      </c>
      <c r="B111" s="6">
        <v>45374</v>
      </c>
      <c r="C111" t="s">
        <v>10</v>
      </c>
      <c r="D111" t="s">
        <v>8</v>
      </c>
      <c r="E111" t="s">
        <v>16</v>
      </c>
      <c r="F111">
        <v>62</v>
      </c>
      <c r="G111">
        <v>31500</v>
      </c>
      <c r="H111" t="s">
        <v>13</v>
      </c>
      <c r="I111">
        <v>40</v>
      </c>
      <c r="J111" t="str">
        <f t="shared" si="9"/>
        <v>A2</v>
      </c>
      <c r="K111" s="2">
        <f t="shared" si="10"/>
        <v>508.06451612903226</v>
      </c>
      <c r="M111" t="str">
        <f t="shared" si="8"/>
        <v>Valid</v>
      </c>
    </row>
    <row r="112" spans="1:13" x14ac:dyDescent="0.35">
      <c r="A112">
        <v>113</v>
      </c>
      <c r="B112" s="6">
        <v>45393</v>
      </c>
      <c r="C112" t="s">
        <v>3</v>
      </c>
      <c r="D112" t="s">
        <v>11</v>
      </c>
      <c r="E112" t="s">
        <v>16</v>
      </c>
      <c r="F112">
        <v>126</v>
      </c>
      <c r="G112">
        <v>40446</v>
      </c>
      <c r="H112" t="s">
        <v>27</v>
      </c>
      <c r="I112">
        <v>41</v>
      </c>
      <c r="J112" t="str">
        <f t="shared" si="9"/>
        <v>A2</v>
      </c>
      <c r="K112" s="2">
        <f t="shared" si="10"/>
        <v>321</v>
      </c>
      <c r="M112" t="str">
        <f t="shared" si="8"/>
        <v>Valid</v>
      </c>
    </row>
    <row r="113" spans="1:13" x14ac:dyDescent="0.35">
      <c r="A113">
        <v>114</v>
      </c>
      <c r="B113" s="6">
        <v>45383</v>
      </c>
      <c r="C113" t="s">
        <v>7</v>
      </c>
      <c r="D113" t="s">
        <v>15</v>
      </c>
      <c r="E113" t="s">
        <v>16</v>
      </c>
      <c r="F113">
        <v>541</v>
      </c>
      <c r="G113">
        <v>42432</v>
      </c>
      <c r="H113" t="s">
        <v>6</v>
      </c>
      <c r="I113">
        <v>42</v>
      </c>
      <c r="J113" t="str">
        <f t="shared" si="9"/>
        <v>A3</v>
      </c>
      <c r="K113" s="2">
        <f t="shared" si="10"/>
        <v>78.432532347504619</v>
      </c>
      <c r="M113" t="str">
        <f t="shared" si="8"/>
        <v>Valid</v>
      </c>
    </row>
    <row r="114" spans="1:13" x14ac:dyDescent="0.35">
      <c r="A114">
        <v>115</v>
      </c>
      <c r="B114" s="6">
        <v>45568</v>
      </c>
      <c r="C114" t="s">
        <v>3</v>
      </c>
      <c r="D114" t="s">
        <v>17</v>
      </c>
      <c r="E114" t="s">
        <v>9</v>
      </c>
      <c r="F114">
        <v>666</v>
      </c>
      <c r="G114">
        <v>64635</v>
      </c>
      <c r="H114" t="s">
        <v>13</v>
      </c>
      <c r="I114">
        <v>43</v>
      </c>
      <c r="J114" t="str">
        <f t="shared" si="9"/>
        <v>A3</v>
      </c>
      <c r="K114" s="2">
        <f t="shared" si="10"/>
        <v>97.049549549549553</v>
      </c>
      <c r="M114" t="str">
        <f t="shared" si="8"/>
        <v>Valid</v>
      </c>
    </row>
    <row r="115" spans="1:13" x14ac:dyDescent="0.35">
      <c r="A115">
        <v>116</v>
      </c>
      <c r="B115" s="6">
        <v>44352</v>
      </c>
      <c r="C115" t="s">
        <v>3</v>
      </c>
      <c r="D115" t="s">
        <v>15</v>
      </c>
      <c r="E115" t="s">
        <v>12</v>
      </c>
      <c r="F115">
        <v>527</v>
      </c>
      <c r="G115">
        <v>51168</v>
      </c>
      <c r="H115" t="s">
        <v>13</v>
      </c>
      <c r="I115">
        <v>42</v>
      </c>
      <c r="J115" t="str">
        <f t="shared" si="9"/>
        <v>A3</v>
      </c>
      <c r="K115" s="2">
        <f t="shared" si="10"/>
        <v>97.092979127134726</v>
      </c>
      <c r="M115" t="str">
        <f t="shared" si="8"/>
        <v>Valid</v>
      </c>
    </row>
    <row r="116" spans="1:13" x14ac:dyDescent="0.35">
      <c r="A116">
        <v>117</v>
      </c>
      <c r="B116" s="6">
        <v>44381</v>
      </c>
      <c r="C116" t="s">
        <v>7</v>
      </c>
      <c r="D116" t="s">
        <v>4</v>
      </c>
      <c r="E116" t="s">
        <v>16</v>
      </c>
      <c r="F116">
        <v>289</v>
      </c>
      <c r="G116">
        <v>29448</v>
      </c>
      <c r="H116" t="s">
        <v>13</v>
      </c>
      <c r="I116">
        <v>39</v>
      </c>
      <c r="J116" t="str">
        <f t="shared" si="9"/>
        <v>A2</v>
      </c>
      <c r="K116" s="2">
        <f t="shared" si="10"/>
        <v>101.8961937716263</v>
      </c>
      <c r="M116" t="str">
        <f t="shared" si="8"/>
        <v>Valid</v>
      </c>
    </row>
    <row r="117" spans="1:13" x14ac:dyDescent="0.35">
      <c r="A117">
        <v>118</v>
      </c>
      <c r="B117" s="6">
        <v>44289</v>
      </c>
      <c r="C117" t="s">
        <v>10</v>
      </c>
      <c r="D117" t="s">
        <v>11</v>
      </c>
      <c r="E117" t="s">
        <v>12</v>
      </c>
      <c r="F117">
        <v>199</v>
      </c>
      <c r="G117">
        <v>56118</v>
      </c>
      <c r="H117" t="s">
        <v>27</v>
      </c>
      <c r="I117">
        <v>41</v>
      </c>
      <c r="J117" t="str">
        <f t="shared" si="9"/>
        <v>A2</v>
      </c>
      <c r="K117" s="2">
        <f t="shared" si="10"/>
        <v>282</v>
      </c>
      <c r="M117" t="str">
        <f t="shared" si="8"/>
        <v>Valid</v>
      </c>
    </row>
    <row r="118" spans="1:13" x14ac:dyDescent="0.35">
      <c r="A118">
        <v>119</v>
      </c>
      <c r="B118" s="6">
        <v>44775</v>
      </c>
      <c r="C118" t="s">
        <v>10</v>
      </c>
      <c r="D118" t="s">
        <v>21</v>
      </c>
      <c r="E118" t="s">
        <v>16</v>
      </c>
      <c r="F118">
        <v>497</v>
      </c>
      <c r="G118">
        <v>46548</v>
      </c>
      <c r="H118" t="s">
        <v>6</v>
      </c>
      <c r="I118">
        <v>36</v>
      </c>
      <c r="J118" t="str">
        <f t="shared" si="9"/>
        <v>A1</v>
      </c>
      <c r="K118" s="2">
        <f t="shared" si="10"/>
        <v>93.6579476861167</v>
      </c>
      <c r="M118" t="str">
        <f t="shared" si="8"/>
        <v>Valid</v>
      </c>
    </row>
    <row r="119" spans="1:13" x14ac:dyDescent="0.35">
      <c r="A119">
        <v>120</v>
      </c>
      <c r="B119" s="6">
        <v>44866</v>
      </c>
      <c r="C119" t="s">
        <v>10</v>
      </c>
      <c r="D119" t="s">
        <v>4</v>
      </c>
      <c r="E119" t="s">
        <v>16</v>
      </c>
      <c r="F119">
        <v>358</v>
      </c>
      <c r="G119">
        <v>34782</v>
      </c>
      <c r="H119" t="s">
        <v>6</v>
      </c>
      <c r="I119">
        <v>39</v>
      </c>
      <c r="J119" t="str">
        <f t="shared" si="9"/>
        <v>A2</v>
      </c>
      <c r="K119" s="2">
        <f t="shared" si="10"/>
        <v>97.156424581005581</v>
      </c>
      <c r="M119" t="str">
        <f t="shared" si="8"/>
        <v>Valid</v>
      </c>
    </row>
    <row r="120" spans="1:13" x14ac:dyDescent="0.35">
      <c r="B120"/>
      <c r="K120"/>
    </row>
    <row r="121" spans="1:13" x14ac:dyDescent="0.35">
      <c r="B121"/>
      <c r="K121"/>
    </row>
    <row r="127" spans="1:13" x14ac:dyDescent="0.35">
      <c r="B127" t="s">
        <v>15</v>
      </c>
      <c r="C127" t="e">
        <f>VLOOKUP(B127,'Production Dataset'!$D$1:$H$121,6,0)</f>
        <v>#REF!</v>
      </c>
    </row>
    <row r="128" spans="1:13" x14ac:dyDescent="0.35">
      <c r="B128" t="s">
        <v>11</v>
      </c>
      <c r="C128" t="e">
        <f>VLOOKUP(B128,'Production Dataset'!$D$1:$H$121,6,0)</f>
        <v>#REF!</v>
      </c>
    </row>
    <row r="129" spans="2:3" x14ac:dyDescent="0.35">
      <c r="B129" t="s">
        <v>20</v>
      </c>
      <c r="C129" t="e">
        <f>VLOOKUP(B129,'Production Dataset'!$D$1:$H$121,6,0)</f>
        <v>#REF!</v>
      </c>
    </row>
    <row r="130" spans="2:3" x14ac:dyDescent="0.35">
      <c r="B130" t="s">
        <v>19</v>
      </c>
      <c r="C130" t="e">
        <f>VLOOKUP(B130,'Production Dataset'!$D$1:$H$121,6,0)</f>
        <v>#REF!</v>
      </c>
    </row>
    <row r="131" spans="2:3" x14ac:dyDescent="0.35">
      <c r="B131" t="s">
        <v>8</v>
      </c>
      <c r="C131" t="e">
        <f>VLOOKUP(B131,'Production Dataset'!$D$1:$H$121,6,0)</f>
        <v>#REF!</v>
      </c>
    </row>
    <row r="132" spans="2:3" x14ac:dyDescent="0.35">
      <c r="B132" t="s">
        <v>18</v>
      </c>
      <c r="C132" t="e">
        <f>VLOOKUP(B132,'Production Dataset'!$D$1:$H$121,6,0)</f>
        <v>#REF!</v>
      </c>
    </row>
    <row r="133" spans="2:3" x14ac:dyDescent="0.35">
      <c r="B133" t="s">
        <v>4</v>
      </c>
      <c r="C133" t="e">
        <f>VLOOKUP(B133,'Production Dataset'!$D$1:$H$121,6,0)</f>
        <v>#REF!</v>
      </c>
    </row>
    <row r="134" spans="2:3" x14ac:dyDescent="0.35">
      <c r="B134" t="s">
        <v>17</v>
      </c>
      <c r="C134" t="e">
        <f>VLOOKUP(B134,'Production Dataset'!$D$1:$H$121,6,0)</f>
        <v>#REF!</v>
      </c>
    </row>
    <row r="135" spans="2:3" x14ac:dyDescent="0.35">
      <c r="B135" t="s">
        <v>21</v>
      </c>
      <c r="C135" t="e">
        <f>VLOOKUP(B135,'Production Dataset'!$D$1:$H$121,6,0)</f>
        <v>#REF!</v>
      </c>
    </row>
  </sheetData>
  <autoFilter ref="A1:K119" xr:uid="{00000000-0001-0000-0000-000000000000}">
    <sortState xmlns:xlrd2="http://schemas.microsoft.com/office/spreadsheetml/2017/richdata2" ref="A2:K119">
      <sortCondition ref="A1:A12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A7E0-BE61-47F7-ACD0-C2267324ACE0}">
  <dimension ref="A3:B8"/>
  <sheetViews>
    <sheetView zoomScale="92" workbookViewId="0">
      <selection activeCell="C14" sqref="C14"/>
    </sheetView>
  </sheetViews>
  <sheetFormatPr defaultRowHeight="14.5" x14ac:dyDescent="0.35"/>
  <cols>
    <col min="1" max="1" width="12.6328125" bestFit="1" customWidth="1"/>
    <col min="2" max="2" width="15.6328125" bestFit="1" customWidth="1"/>
  </cols>
  <sheetData>
    <row r="3" spans="1:2" x14ac:dyDescent="0.35">
      <c r="A3" s="3" t="s">
        <v>31</v>
      </c>
      <c r="B3" t="s">
        <v>33</v>
      </c>
    </row>
    <row r="4" spans="1:2" x14ac:dyDescent="0.35">
      <c r="A4" s="4" t="s">
        <v>16</v>
      </c>
      <c r="B4" s="5">
        <v>1212749</v>
      </c>
    </row>
    <row r="5" spans="1:2" x14ac:dyDescent="0.35">
      <c r="A5" s="4" t="s">
        <v>12</v>
      </c>
      <c r="B5" s="5">
        <v>944874</v>
      </c>
    </row>
    <row r="6" spans="1:2" x14ac:dyDescent="0.35">
      <c r="A6" s="4" t="s">
        <v>9</v>
      </c>
      <c r="B6" s="5">
        <v>864969</v>
      </c>
    </row>
    <row r="7" spans="1:2" x14ac:dyDescent="0.35">
      <c r="A7" s="4" t="s">
        <v>5</v>
      </c>
      <c r="B7" s="5">
        <v>862888</v>
      </c>
    </row>
    <row r="8" spans="1:2" x14ac:dyDescent="0.35">
      <c r="A8" s="4" t="s">
        <v>32</v>
      </c>
      <c r="B8" s="5">
        <v>3885480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68EB1-44F6-4EE1-8F23-DFE5A376C491}">
  <dimension ref="A3:B13"/>
  <sheetViews>
    <sheetView zoomScale="79" workbookViewId="0">
      <selection activeCell="P16" sqref="P16"/>
    </sheetView>
  </sheetViews>
  <sheetFormatPr defaultRowHeight="14.5" x14ac:dyDescent="0.35"/>
  <cols>
    <col min="1" max="1" width="13.08984375" bestFit="1" customWidth="1"/>
    <col min="2" max="2" width="11" bestFit="1" customWidth="1"/>
  </cols>
  <sheetData>
    <row r="3" spans="1:2" x14ac:dyDescent="0.35">
      <c r="A3" s="3" t="s">
        <v>31</v>
      </c>
      <c r="B3" t="s">
        <v>34</v>
      </c>
    </row>
    <row r="4" spans="1:2" x14ac:dyDescent="0.35">
      <c r="A4" s="4" t="s">
        <v>4</v>
      </c>
      <c r="B4" s="9">
        <v>20</v>
      </c>
    </row>
    <row r="5" spans="1:2" x14ac:dyDescent="0.35">
      <c r="A5" s="4" t="s">
        <v>11</v>
      </c>
      <c r="B5" s="9">
        <v>16</v>
      </c>
    </row>
    <row r="6" spans="1:2" x14ac:dyDescent="0.35">
      <c r="A6" s="4" t="s">
        <v>15</v>
      </c>
      <c r="B6" s="9">
        <v>16</v>
      </c>
    </row>
    <row r="7" spans="1:2" x14ac:dyDescent="0.35">
      <c r="A7" s="4" t="s">
        <v>17</v>
      </c>
      <c r="B7" s="9">
        <v>15</v>
      </c>
    </row>
    <row r="8" spans="1:2" x14ac:dyDescent="0.35">
      <c r="A8" s="4" t="s">
        <v>8</v>
      </c>
      <c r="B8" s="9">
        <v>14</v>
      </c>
    </row>
    <row r="9" spans="1:2" x14ac:dyDescent="0.35">
      <c r="A9" s="4" t="s">
        <v>18</v>
      </c>
      <c r="B9" s="9">
        <v>13</v>
      </c>
    </row>
    <row r="10" spans="1:2" x14ac:dyDescent="0.35">
      <c r="A10" s="4" t="s">
        <v>20</v>
      </c>
      <c r="B10" s="9">
        <v>13</v>
      </c>
    </row>
    <row r="11" spans="1:2" x14ac:dyDescent="0.35">
      <c r="A11" s="4" t="s">
        <v>19</v>
      </c>
      <c r="B11" s="9">
        <v>12</v>
      </c>
    </row>
    <row r="12" spans="1:2" x14ac:dyDescent="0.35">
      <c r="A12" s="4" t="s">
        <v>21</v>
      </c>
      <c r="B12" s="9">
        <v>1</v>
      </c>
    </row>
    <row r="13" spans="1:2" x14ac:dyDescent="0.35">
      <c r="A13" s="4" t="s">
        <v>32</v>
      </c>
      <c r="B13" s="9">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EC8CD-4331-493F-A3AF-3EAA284BEE40}">
  <dimension ref="A3:B34"/>
  <sheetViews>
    <sheetView zoomScale="97" workbookViewId="0">
      <selection activeCell="A4" sqref="A4"/>
    </sheetView>
  </sheetViews>
  <sheetFormatPr defaultRowHeight="14.5" x14ac:dyDescent="0.35"/>
  <cols>
    <col min="1" max="1" width="12.36328125" bestFit="1" customWidth="1"/>
    <col min="2" max="2" width="20.08984375" bestFit="1" customWidth="1"/>
  </cols>
  <sheetData>
    <row r="3" spans="1:2" x14ac:dyDescent="0.35">
      <c r="A3" s="3" t="s">
        <v>31</v>
      </c>
      <c r="B3" t="s">
        <v>35</v>
      </c>
    </row>
    <row r="4" spans="1:2" ht="16.5" customHeight="1" x14ac:dyDescent="0.35">
      <c r="A4" s="4" t="s">
        <v>36</v>
      </c>
      <c r="B4" s="9">
        <v>1015</v>
      </c>
    </row>
    <row r="5" spans="1:2" x14ac:dyDescent="0.35">
      <c r="A5" s="7" t="s">
        <v>40</v>
      </c>
      <c r="B5" s="9">
        <v>199</v>
      </c>
    </row>
    <row r="6" spans="1:2" x14ac:dyDescent="0.35">
      <c r="A6" s="7" t="s">
        <v>41</v>
      </c>
      <c r="B6" s="9">
        <v>527</v>
      </c>
    </row>
    <row r="7" spans="1:2" x14ac:dyDescent="0.35">
      <c r="A7" s="7" t="s">
        <v>42</v>
      </c>
      <c r="B7" s="9">
        <v>289</v>
      </c>
    </row>
    <row r="8" spans="1:2" x14ac:dyDescent="0.35">
      <c r="A8" s="4" t="s">
        <v>37</v>
      </c>
      <c r="B8" s="9">
        <v>855</v>
      </c>
    </row>
    <row r="9" spans="1:2" x14ac:dyDescent="0.35">
      <c r="A9" s="7" t="s">
        <v>43</v>
      </c>
      <c r="B9" s="9">
        <v>497</v>
      </c>
    </row>
    <row r="10" spans="1:2" x14ac:dyDescent="0.35">
      <c r="A10" s="7" t="s">
        <v>44</v>
      </c>
      <c r="B10" s="9">
        <v>358</v>
      </c>
    </row>
    <row r="11" spans="1:2" x14ac:dyDescent="0.35">
      <c r="A11" s="4" t="s">
        <v>38</v>
      </c>
      <c r="B11" s="9">
        <v>13085</v>
      </c>
    </row>
    <row r="12" spans="1:2" x14ac:dyDescent="0.35">
      <c r="A12" s="7" t="s">
        <v>45</v>
      </c>
      <c r="B12" s="9">
        <v>363</v>
      </c>
    </row>
    <row r="13" spans="1:2" x14ac:dyDescent="0.35">
      <c r="A13" s="7" t="s">
        <v>46</v>
      </c>
      <c r="B13" s="9">
        <v>385</v>
      </c>
    </row>
    <row r="14" spans="1:2" x14ac:dyDescent="0.35">
      <c r="A14" s="7" t="s">
        <v>47</v>
      </c>
      <c r="B14" s="9">
        <v>996</v>
      </c>
    </row>
    <row r="15" spans="1:2" x14ac:dyDescent="0.35">
      <c r="A15" s="7" t="s">
        <v>40</v>
      </c>
      <c r="B15" s="9">
        <v>1294</v>
      </c>
    </row>
    <row r="16" spans="1:2" x14ac:dyDescent="0.35">
      <c r="A16" s="7" t="s">
        <v>48</v>
      </c>
      <c r="B16" s="9">
        <v>917</v>
      </c>
    </row>
    <row r="17" spans="1:2" x14ac:dyDescent="0.35">
      <c r="A17" s="7" t="s">
        <v>41</v>
      </c>
      <c r="B17" s="9">
        <v>1125</v>
      </c>
    </row>
    <row r="18" spans="1:2" x14ac:dyDescent="0.35">
      <c r="A18" s="7" t="s">
        <v>42</v>
      </c>
      <c r="B18" s="9">
        <v>1011</v>
      </c>
    </row>
    <row r="19" spans="1:2" x14ac:dyDescent="0.35">
      <c r="A19" s="7" t="s">
        <v>43</v>
      </c>
      <c r="B19" s="9">
        <v>1119</v>
      </c>
    </row>
    <row r="20" spans="1:2" x14ac:dyDescent="0.35">
      <c r="A20" s="7" t="s">
        <v>49</v>
      </c>
      <c r="B20" s="9">
        <v>1227</v>
      </c>
    </row>
    <row r="21" spans="1:2" x14ac:dyDescent="0.35">
      <c r="A21" s="7" t="s">
        <v>50</v>
      </c>
      <c r="B21" s="9">
        <v>1654</v>
      </c>
    </row>
    <row r="22" spans="1:2" x14ac:dyDescent="0.35">
      <c r="A22" s="7" t="s">
        <v>44</v>
      </c>
      <c r="B22" s="9">
        <v>1443</v>
      </c>
    </row>
    <row r="23" spans="1:2" x14ac:dyDescent="0.35">
      <c r="A23" s="7" t="s">
        <v>51</v>
      </c>
      <c r="B23" s="9">
        <v>1551</v>
      </c>
    </row>
    <row r="24" spans="1:2" x14ac:dyDescent="0.35">
      <c r="A24" s="4" t="s">
        <v>39</v>
      </c>
      <c r="B24" s="9">
        <v>9796</v>
      </c>
    </row>
    <row r="25" spans="1:2" x14ac:dyDescent="0.35">
      <c r="A25" s="7" t="s">
        <v>45</v>
      </c>
      <c r="B25" s="9">
        <v>2487</v>
      </c>
    </row>
    <row r="26" spans="1:2" x14ac:dyDescent="0.35">
      <c r="A26" s="7" t="s">
        <v>46</v>
      </c>
      <c r="B26" s="9">
        <v>2073</v>
      </c>
    </row>
    <row r="27" spans="1:2" x14ac:dyDescent="0.35">
      <c r="A27" s="7" t="s">
        <v>47</v>
      </c>
      <c r="B27" s="9">
        <v>2247</v>
      </c>
    </row>
    <row r="28" spans="1:2" x14ac:dyDescent="0.35">
      <c r="A28" s="7" t="s">
        <v>40</v>
      </c>
      <c r="B28" s="9">
        <v>667</v>
      </c>
    </row>
    <row r="29" spans="1:2" x14ac:dyDescent="0.35">
      <c r="A29" s="7" t="s">
        <v>48</v>
      </c>
      <c r="B29" s="9">
        <v>499</v>
      </c>
    </row>
    <row r="30" spans="1:2" x14ac:dyDescent="0.35">
      <c r="A30" s="7" t="s">
        <v>41</v>
      </c>
      <c r="B30" s="9">
        <v>308</v>
      </c>
    </row>
    <row r="31" spans="1:2" x14ac:dyDescent="0.35">
      <c r="A31" s="7" t="s">
        <v>42</v>
      </c>
      <c r="B31" s="9">
        <v>306</v>
      </c>
    </row>
    <row r="32" spans="1:2" x14ac:dyDescent="0.35">
      <c r="A32" s="7" t="s">
        <v>50</v>
      </c>
      <c r="B32" s="9">
        <v>995</v>
      </c>
    </row>
    <row r="33" spans="1:2" x14ac:dyDescent="0.35">
      <c r="A33" s="7" t="s">
        <v>44</v>
      </c>
      <c r="B33" s="9">
        <v>214</v>
      </c>
    </row>
    <row r="34" spans="1:2" x14ac:dyDescent="0.35">
      <c r="A34" s="4" t="s">
        <v>32</v>
      </c>
      <c r="B34" s="9">
        <v>24751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32EC1-1C40-4B1D-B9B2-D6643B73FC63}">
  <dimension ref="A3:B8"/>
  <sheetViews>
    <sheetView workbookViewId="0">
      <selection activeCell="M4" sqref="M4"/>
    </sheetView>
  </sheetViews>
  <sheetFormatPr defaultRowHeight="14.5" x14ac:dyDescent="0.35"/>
  <cols>
    <col min="1" max="1" width="12.36328125" bestFit="1" customWidth="1"/>
    <col min="2" max="2" width="31.36328125" bestFit="1" customWidth="1"/>
  </cols>
  <sheetData>
    <row r="3" spans="1:2" x14ac:dyDescent="0.35">
      <c r="A3" s="3" t="s">
        <v>31</v>
      </c>
      <c r="B3" t="s">
        <v>52</v>
      </c>
    </row>
    <row r="4" spans="1:2" x14ac:dyDescent="0.35">
      <c r="A4" s="4" t="s">
        <v>16</v>
      </c>
      <c r="B4" s="2">
        <v>207.5714538079169</v>
      </c>
    </row>
    <row r="5" spans="1:2" x14ac:dyDescent="0.35">
      <c r="A5" s="4" t="s">
        <v>12</v>
      </c>
      <c r="B5" s="2">
        <v>162.49240096462344</v>
      </c>
    </row>
    <row r="6" spans="1:2" x14ac:dyDescent="0.35">
      <c r="A6" s="4" t="s">
        <v>9</v>
      </c>
      <c r="B6" s="2">
        <v>165.32889313770596</v>
      </c>
    </row>
    <row r="7" spans="1:2" x14ac:dyDescent="0.35">
      <c r="A7" s="4" t="s">
        <v>5</v>
      </c>
      <c r="B7" s="2">
        <v>155.6631762908184</v>
      </c>
    </row>
    <row r="8" spans="1:2" x14ac:dyDescent="0.35">
      <c r="A8" s="4" t="s">
        <v>32</v>
      </c>
      <c r="B8" s="2">
        <v>174.80992749407332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1315-2D18-45E5-8E7E-74A9830B320B}">
  <dimension ref="A1:T4"/>
  <sheetViews>
    <sheetView showGridLines="0" tabSelected="1" zoomScale="59" workbookViewId="0">
      <selection activeCell="Z10" sqref="Z10"/>
    </sheetView>
  </sheetViews>
  <sheetFormatPr defaultRowHeight="14.5" x14ac:dyDescent="0.35"/>
  <sheetData>
    <row r="1" spans="1:20" x14ac:dyDescent="0.35">
      <c r="A1" s="11" t="s">
        <v>53</v>
      </c>
      <c r="B1" s="10"/>
      <c r="C1" s="10"/>
      <c r="D1" s="10"/>
      <c r="E1" s="10"/>
      <c r="F1" s="10"/>
      <c r="G1" s="10"/>
      <c r="H1" s="10"/>
      <c r="I1" s="10"/>
      <c r="J1" s="10"/>
      <c r="K1" s="10"/>
      <c r="L1" s="10"/>
      <c r="M1" s="10"/>
      <c r="N1" s="10"/>
      <c r="O1" s="10"/>
      <c r="P1" s="10"/>
      <c r="Q1" s="10"/>
      <c r="R1" s="10"/>
      <c r="S1" s="10"/>
      <c r="T1" s="10"/>
    </row>
    <row r="2" spans="1:20" x14ac:dyDescent="0.35">
      <c r="A2" s="10"/>
      <c r="B2" s="10"/>
      <c r="C2" s="10"/>
      <c r="D2" s="10"/>
      <c r="E2" s="10"/>
      <c r="F2" s="10"/>
      <c r="G2" s="10"/>
      <c r="H2" s="10"/>
      <c r="I2" s="10"/>
      <c r="J2" s="10"/>
      <c r="K2" s="10"/>
      <c r="L2" s="10"/>
      <c r="M2" s="10"/>
      <c r="N2" s="10"/>
      <c r="O2" s="10"/>
      <c r="P2" s="10"/>
      <c r="Q2" s="10"/>
      <c r="R2" s="10"/>
      <c r="S2" s="10"/>
      <c r="T2" s="10"/>
    </row>
    <row r="3" spans="1:20" x14ac:dyDescent="0.35">
      <c r="A3" s="10"/>
      <c r="B3" s="10"/>
      <c r="C3" s="10"/>
      <c r="D3" s="10"/>
      <c r="E3" s="10"/>
      <c r="F3" s="10"/>
      <c r="G3" s="10"/>
      <c r="H3" s="10"/>
      <c r="I3" s="10"/>
      <c r="J3" s="10"/>
      <c r="K3" s="10"/>
      <c r="L3" s="10"/>
      <c r="M3" s="10"/>
      <c r="N3" s="10"/>
      <c r="O3" s="10"/>
      <c r="P3" s="10"/>
      <c r="Q3" s="10"/>
      <c r="R3" s="10"/>
      <c r="S3" s="10"/>
      <c r="T3" s="10"/>
    </row>
    <row r="4" spans="1:20" x14ac:dyDescent="0.35">
      <c r="A4" s="10"/>
      <c r="B4" s="10"/>
      <c r="C4" s="10"/>
      <c r="D4" s="10"/>
      <c r="E4" s="10"/>
      <c r="F4" s="10"/>
      <c r="G4" s="10"/>
      <c r="H4" s="10"/>
      <c r="I4" s="10"/>
      <c r="J4" s="10"/>
      <c r="K4" s="10"/>
      <c r="L4" s="10"/>
      <c r="M4" s="10"/>
      <c r="N4" s="10"/>
      <c r="O4" s="10"/>
      <c r="P4" s="10"/>
      <c r="Q4" s="10"/>
      <c r="R4" s="10"/>
      <c r="S4" s="10"/>
      <c r="T4" s="10"/>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Production Dataset</vt:lpstr>
      <vt:lpstr>Pivot 1 </vt:lpstr>
      <vt:lpstr>Pivot 2</vt:lpstr>
      <vt:lpstr>Pivot 3</vt:lpstr>
      <vt:lpstr>Pivot 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ritika Chawla</cp:lastModifiedBy>
  <dcterms:created xsi:type="dcterms:W3CDTF">2025-07-15T12:20:33Z</dcterms:created>
  <dcterms:modified xsi:type="dcterms:W3CDTF">2025-07-17T08:58:22Z</dcterms:modified>
</cp:coreProperties>
</file>